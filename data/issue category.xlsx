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Daljeet\Desktop\"/>
    </mc:Choice>
  </mc:AlternateContent>
  <xr:revisionPtr revIDLastSave="0" documentId="8_{7334C399-1868-411D-A073-12A10A44DEAB}" xr6:coauthVersionLast="41" xr6:coauthVersionMax="41" xr10:uidLastSave="{00000000-0000-0000-0000-000000000000}"/>
  <bookViews>
    <workbookView xWindow="-110" yWindow="-110" windowWidth="19420" windowHeight="10420" xr2:uid="{71196FBF-F77C-4191-BBFC-56D8905A1F1C}"/>
  </bookViews>
  <sheets>
    <sheet name="Sheet1" sheetId="1" r:id="rId1"/>
    <sheet name="Jan 25" sheetId="2" r:id="rId2"/>
    <sheet name="Feb 25" sheetId="3" r:id="rId3"/>
    <sheet name="Mar 25" sheetId="4" r:id="rId4"/>
  </sheets>
  <externalReferences>
    <externalReference r:id="rId5"/>
  </externalReferences>
  <definedNames>
    <definedName name="_xlnm._FilterDatabase" localSheetId="2" hidden="1">'Feb 25'!$A$1:$M$1</definedName>
    <definedName name="_xlnm._FilterDatabase" localSheetId="1" hidden="1">'Jan 25'!$A$1:$K$11</definedName>
    <definedName name="_xlnm._FilterDatabase" localSheetId="3" hidden="1">'Mar 25'!$A$1:$K$103</definedName>
    <definedName name="_xlnm._FilterDatabase" localSheetId="0" hidden="1">Sheet1!$A$1:$D$131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73"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2" i="3"/>
  <c r="J3" i="3"/>
  <c r="J4" i="3"/>
  <c r="J5" i="3"/>
  <c r="J6" i="3"/>
  <c r="J7" i="3"/>
  <c r="J8" i="3"/>
  <c r="J9" i="3"/>
  <c r="J10" i="3"/>
  <c r="J11" i="3"/>
  <c r="J12" i="3"/>
  <c r="J2" i="2"/>
  <c r="J3" i="2"/>
  <c r="J4" i="2"/>
  <c r="J5" i="2"/>
  <c r="J6" i="2"/>
  <c r="J7" i="2"/>
  <c r="J8" i="2"/>
  <c r="J9" i="2"/>
  <c r="J10" i="2"/>
  <c r="J11" i="2"/>
  <c r="J12" i="2"/>
  <c r="J18" i="2"/>
  <c r="J19" i="2"/>
  <c r="J20" i="2"/>
  <c r="J21" i="2"/>
  <c r="J22" i="2"/>
  <c r="J23" i="2"/>
  <c r="J24" i="2"/>
  <c r="J25" i="2"/>
  <c r="J26" i="2"/>
  <c r="J27" i="2"/>
  <c r="J28" i="2"/>
  <c r="J29" i="2"/>
  <c r="J30" i="2"/>
  <c r="J31" i="2"/>
  <c r="J32" i="2"/>
  <c r="J145" i="2"/>
  <c r="J146"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alcChain>
</file>

<file path=xl/sharedStrings.xml><?xml version="1.0" encoding="utf-8"?>
<sst xmlns="http://schemas.openxmlformats.org/spreadsheetml/2006/main" count="1849" uniqueCount="566">
  <si>
    <t xml:space="preserve">New Masterdata addition done by users to be included in all relevant modules as new materials added in either receiver track or sender track </t>
  </si>
  <si>
    <t>Issue in running inbound/outbound actions as access missed tobe given to few users in integration model/action linkage issue</t>
  </si>
  <si>
    <t>Time filter/time context selector issue in case of few grids in some tracks where FY25 was not reflecting in place of FY26 as views not updated in few grids for inputs</t>
  </si>
  <si>
    <t>Mismatch in working and submission version and integrated version due to some new transfers/logic built during ABP missed in the action</t>
  </si>
  <si>
    <t>Issue in making version movement from working and submission to integrated version</t>
  </si>
  <si>
    <t>System issues categories</t>
  </si>
  <si>
    <t>New CC update for Depreciation, integration movement</t>
  </si>
  <si>
    <t>FP</t>
  </si>
  <si>
    <t>Masterdata - incorporation in system</t>
  </si>
  <si>
    <t>Sales Volume in ISWP Rod Mill Plant still not reflecting</t>
  </si>
  <si>
    <t>SM TSJ LP</t>
  </si>
  <si>
    <t>Masterdata - delayed input from user</t>
  </si>
  <si>
    <t>linkages corrected</t>
  </si>
  <si>
    <t xml:space="preserve">TM Allocation in ABP FY26 is still visible </t>
  </si>
  <si>
    <t>TCIL</t>
  </si>
  <si>
    <t>System linkage issue</t>
  </si>
  <si>
    <t>Master updated and links corrected</t>
  </si>
  <si>
    <t>The consumption and transfer figures for RM grade WR3M for MIG wire sales are not appearing in module 2.03 RM planning volume and Cost</t>
  </si>
  <si>
    <t>Wires</t>
  </si>
  <si>
    <t>Action corrected</t>
  </si>
  <si>
    <t>Difference in local and integrated version</t>
  </si>
  <si>
    <t>Due to new changes in OC, mapping was redone</t>
  </si>
  <si>
    <t>TM cost was not flowing</t>
  </si>
  <si>
    <t>Agrico</t>
  </si>
  <si>
    <t>Was done manually - action not working</t>
  </si>
  <si>
    <t xml:space="preserve">Steel cost addition in list of new products added in master </t>
  </si>
  <si>
    <t>Tubes</t>
  </si>
  <si>
    <t>Bearings export sales volume planning data not reflecting correct. Huge value appearing as ABP FY'25 Data also showing in summary for bearings</t>
  </si>
  <si>
    <t>Bearings</t>
  </si>
  <si>
    <t>Correction done - format for updating new schemes was different</t>
  </si>
  <si>
    <t>Integration data was not flowing for many tracks like TCIL, IBMD, etc</t>
  </si>
  <si>
    <t>Time filter not updated for ABP FY'26</t>
  </si>
  <si>
    <t xml:space="preserve">Correction done </t>
  </si>
  <si>
    <t>The generation nos for By Product Gases are not appearing in Cost Sheet</t>
  </si>
  <si>
    <t>SS- TSK</t>
  </si>
  <si>
    <t>Purchase power cost (rate) in WPP for power rate not flowing</t>
  </si>
  <si>
    <t>SS - TSM</t>
  </si>
  <si>
    <t>Differences in rates and WPP after transferring data from local to integrated version</t>
  </si>
  <si>
    <t>Depreciation not flowing</t>
  </si>
  <si>
    <t>TSG</t>
  </si>
  <si>
    <t>Lime fines closing rate diff in WS and integration</t>
  </si>
  <si>
    <t>SM TSM</t>
  </si>
  <si>
    <t>After mapping pig iron own, the data is not flowing in BOF</t>
  </si>
  <si>
    <t>Version movement issue from working -submission to integrated version</t>
  </si>
  <si>
    <t>Lab inventory report slab cons is not appearing</t>
  </si>
  <si>
    <t>Unable to move from working submission to integrated version</t>
  </si>
  <si>
    <t>Unable to pull data from Inbound Action in Anaplan</t>
  </si>
  <si>
    <t>SPC and Purchase Billet data is not reflecting in integrated version</t>
  </si>
  <si>
    <t>Action issues corrected by IT</t>
  </si>
  <si>
    <t>HMC coke cost not getting pushed to TSK and TSM</t>
  </si>
  <si>
    <t>IM TSJ</t>
  </si>
  <si>
    <t>Different line item was published in the FY'26 Dashboard's grid due to which correct data was not appearing.</t>
  </si>
  <si>
    <t>Coke Plant Prodn and Coke Consumption Rate cannot be seen in cons. Rate mat bal screen, but it correctly seen in other screen</t>
  </si>
  <si>
    <t>Actions corrected</t>
  </si>
  <si>
    <t>Mismatch in Working and Integrated version</t>
  </si>
  <si>
    <t>RM</t>
  </si>
  <si>
    <t>Mapping done twice by IT mistakenly</t>
  </si>
  <si>
    <t>Joda IOPP Plant Output Volume is getting calculated double the actual amount.</t>
  </si>
  <si>
    <t>Dashboard not published in front end for users to view</t>
  </si>
  <si>
    <t>Unable to view JMBL Cess in any of the OMQ Cost sheets( Noamundi, Vijaya II and OMQ Total Cost sheet.</t>
  </si>
  <si>
    <t>Correction done in formula</t>
  </si>
  <si>
    <t>Total not tallying with the allocated cost in TSJ WCDC module</t>
  </si>
  <si>
    <t>GAGW</t>
  </si>
  <si>
    <t>Access issue at organization level in Integration Model which is resolved</t>
  </si>
  <si>
    <t>Unable to pull HM /IO</t>
  </si>
  <si>
    <t>SM TSJ FP</t>
  </si>
  <si>
    <t>System Access issue</t>
  </si>
  <si>
    <t>Authorization issue in the data import action</t>
  </si>
  <si>
    <t>GW TSK data was not getting pulled</t>
  </si>
  <si>
    <t>IM TSK</t>
  </si>
  <si>
    <t>ABP'26_Iron Ore and Coal Distribution is not flowing in IM</t>
  </si>
  <si>
    <t>There was a filter applied in view due to which grid was coming blank</t>
  </si>
  <si>
    <t>Utility data not available in Blast Furnace</t>
  </si>
  <si>
    <t>Difference in manual and system planning</t>
  </si>
  <si>
    <t>Ferroshot rate logic is weighted average of scraps in anaplan while there is no such planning done</t>
  </si>
  <si>
    <t>Logic mistakes in excel vs system</t>
  </si>
  <si>
    <t>Milwise LP data of sales was reuired which was not planned. Later M&amp;S made the data</t>
  </si>
  <si>
    <t>Due to LP mapping of CC in anaplan, cost for 21120 was mismatching. Later aligned</t>
  </si>
  <si>
    <t>Difference in GAGW cost</t>
  </si>
  <si>
    <t>Different logics for viewing the GAGW cost in Anaplan and excel</t>
  </si>
  <si>
    <t>GAGW data not matching in Anaplan w.r.t manual planning</t>
  </si>
  <si>
    <t>Production cost considered in planning while weighted average rate build in Anaplan</t>
  </si>
  <si>
    <t>Weighted average inventory rate for transferring to TSM  - Difference in rates</t>
  </si>
  <si>
    <t>Logic for transfers, coke breeze changed</t>
  </si>
  <si>
    <t>TSMD</t>
  </si>
  <si>
    <t>Delayed logic changes from users</t>
  </si>
  <si>
    <t>Inclusion of Joda</t>
  </si>
  <si>
    <t>Many new logics incorporated during ABP</t>
  </si>
  <si>
    <t>FAMD</t>
  </si>
  <si>
    <t>Formula changed during ABP to include exception for sinter coke breeze</t>
  </si>
  <si>
    <t>Rate incorrectly flowing for Coke Breeze</t>
  </si>
  <si>
    <t xml:space="preserve">Formula changed during ABP </t>
  </si>
  <si>
    <t>Nitrogen Consumption in pellet plant</t>
  </si>
  <si>
    <t>Formula changed during ABP even after doing UAT</t>
  </si>
  <si>
    <t>Billet consumption cost not coming correct</t>
  </si>
  <si>
    <t>New areas added and new reports required with different views</t>
  </si>
  <si>
    <t>Allocation of cost over MOR in different areas</t>
  </si>
  <si>
    <t>Changes done during ABP planning</t>
  </si>
  <si>
    <t xml:space="preserve">Flaring of BF,CO &amp; LD in GCal  </t>
  </si>
  <si>
    <t>SS TSK</t>
  </si>
  <si>
    <t>Formula changed for saleable FHCR, FHCR inventory in CRM volume  planning,  HR input of CRM Bara, weighted average calculation of CRM bara inventory</t>
  </si>
  <si>
    <t>There is a exclusion logic change to remove the impact</t>
  </si>
  <si>
    <t>Purchase Pellet's impact in Pellet Plant</t>
  </si>
  <si>
    <t>Logic changed during ABP</t>
  </si>
  <si>
    <t>Vijaya II Change in WIP is not appearing correctly on account of wrong production rate.</t>
  </si>
  <si>
    <t>CS&amp;P releases moisture content for all locations separately. User team considered different data</t>
  </si>
  <si>
    <t>Incorrect moisture content is flowing in system</t>
  </si>
  <si>
    <t>SS TSM</t>
  </si>
  <si>
    <t>Multiple versions issue in excel</t>
  </si>
  <si>
    <t>IBMD and BAG SM have considered different nos for planning</t>
  </si>
  <si>
    <t xml:space="preserve">Rate of scrap is not reflecting correctly in Anaplan </t>
  </si>
  <si>
    <t>Bulk/Strategic procurement and BAG SM have considered different nos for planning</t>
  </si>
  <si>
    <t>Rate of ferro alloys is not reflecting correctly in Anaplan (dolomite, desulphur, artificial. graphite)</t>
  </si>
  <si>
    <t>Different data used in planning by TSK and BAG SM</t>
  </si>
  <si>
    <t>Change in rate of TSK and freight in inventory</t>
  </si>
  <si>
    <t>Different logics due to which different nos</t>
  </si>
  <si>
    <t xml:space="preserve">Difference in monthwise planning of TSJ common GA cost due to different logics considered by CMAG and BAG SM for allocation </t>
  </si>
  <si>
    <t>Different data used in planning by SC and BAG SM</t>
  </si>
  <si>
    <t xml:space="preserve">SPC and freight cost difference </t>
  </si>
  <si>
    <t>Rate of ferro alloys is not reflecting correctly in Anaplan (dolomite, desulphur, nitrovan, aluminium notch bar, maganesium metal flake etc.)</t>
  </si>
  <si>
    <t>Shared services had computed the manual data and shared based on std cost .However working the bottom -up , it was found that there were items not considered in the calculation earlier</t>
  </si>
  <si>
    <t xml:space="preserve">Difference in CMG wages, LD gas rate, BF gas rate, power , argon, mixed gas, MP nitrogen </t>
  </si>
  <si>
    <t>TSJ nad TSK have considered different nos for planning</t>
  </si>
  <si>
    <t>Transfer of FHCR from TSK and TSM is not aligned with TSJ is Anaplan</t>
  </si>
  <si>
    <t>Rate of scrap is not reflecting correctly in Anaplan ; difference in freight also</t>
  </si>
  <si>
    <t>Different data used in planning by CS&amp;P and BAG SM</t>
  </si>
  <si>
    <t xml:space="preserve">Difference in assumption updated for lime </t>
  </si>
  <si>
    <t>DSS and BAG SM have considered different nos for planning</t>
  </si>
  <si>
    <t>Iron ore distribution data mismatch due to different excel versions</t>
  </si>
  <si>
    <t xml:space="preserve">Abnormal cost and POP difference </t>
  </si>
  <si>
    <t>Mapping not done correctly</t>
  </si>
  <si>
    <t>Carboloux new material mapping</t>
  </si>
  <si>
    <t>Mapping missing from user</t>
  </si>
  <si>
    <t xml:space="preserve"> Depreciation mismatch in FP and BP</t>
  </si>
  <si>
    <t>Addtion of Coke breeze imported under  Pellet plant</t>
  </si>
  <si>
    <t>Mismatches in depreciation.</t>
  </si>
  <si>
    <t>Requirement of powder bentonite, ASRF etc not mapped propoerly</t>
  </si>
  <si>
    <t>Residual TSG fines not flowing</t>
  </si>
  <si>
    <t>BF coke mapping not done correctly leading to gap in Geo PL</t>
  </si>
  <si>
    <t>Depreciation mismatch in FP and BP</t>
  </si>
  <si>
    <t>Coal rate and fuel rate is showing wrong in report no. 7.3</t>
  </si>
  <si>
    <t>Clo was not mapped last year</t>
  </si>
  <si>
    <t>Additional Amt issue in Joda and Vijiya II</t>
  </si>
  <si>
    <t>Omq Vol Planning, yeild % and excavation</t>
  </si>
  <si>
    <t>Depreciation subset not marked</t>
  </si>
  <si>
    <t>Mismatch in Tubes numbers pushed to Financial planning model</t>
  </si>
  <si>
    <t>Lump &amp; dolo lime rates are not flowing to SM Cost sheet</t>
  </si>
  <si>
    <t>New GLs not marked in subset for flowing data</t>
  </si>
  <si>
    <t>GAGW nos not flowing correctly</t>
  </si>
  <si>
    <t>IM/SM TSJ</t>
  </si>
  <si>
    <t>Existing hierarchies changed - impact of the same was not flowing as both old and new were appearing</t>
  </si>
  <si>
    <t>Missing cost centres/ GLs added</t>
  </si>
  <si>
    <t>Mapping of one product Smart fab missing as not flowing in subset</t>
  </si>
  <si>
    <t xml:space="preserve">DET Sales for LP area is reflecting ~144kt in Inbound  Data In integration model (9B), however, in TMT Mat balance sales is showing as ~129kt </t>
  </si>
  <si>
    <t>Materials were not marked in SM subset</t>
  </si>
  <si>
    <t>Addition of Vijay2 LG fines in IM iron and coal distribution module</t>
  </si>
  <si>
    <t>New items which needs to be updated in SM module which were not consumed last year</t>
  </si>
  <si>
    <t>Rate of few ferro alloys missing in anaplan</t>
  </si>
  <si>
    <t>Scrap materials and scrap rate not visible in anaplan</t>
  </si>
  <si>
    <t>Users to update requirements and push to OC post which they can push the rates</t>
  </si>
  <si>
    <t>Bulk Rate are not flowing for materials - Limestone  CP, Pyroxinite, ESP Dust etc...</t>
  </si>
  <si>
    <t>All tracks</t>
  </si>
  <si>
    <t>New scheme addition in depreciation</t>
  </si>
  <si>
    <t>User knowledge gap</t>
  </si>
  <si>
    <t>User wasn’t able to complete</t>
  </si>
  <si>
    <t>Workshops conducted with users to complete ABP inputs and close Geo PL</t>
  </si>
  <si>
    <t>User KT issue</t>
  </si>
  <si>
    <t>IBMD</t>
  </si>
  <si>
    <t>Helping user in updating R&amp;M cost</t>
  </si>
  <si>
    <t>Inbound action not run for working and submission for inputs from integration</t>
  </si>
  <si>
    <t>Data mismatch in working and submission and integrated version</t>
  </si>
  <si>
    <t>Data updated in incorrect cost centre by IBMD- later corrected</t>
  </si>
  <si>
    <t xml:space="preserve">Data not flowing correctly from IBMD to IM </t>
  </si>
  <si>
    <t>IM TSM</t>
  </si>
  <si>
    <t>Plant to Plant transfer's data was not entered by user.</t>
  </si>
  <si>
    <t>IO lumps Specific consumption MatBal issue</t>
  </si>
  <si>
    <t>IM -TSM</t>
  </si>
  <si>
    <t>RM user has planned and sent the data in wrong CC</t>
  </si>
  <si>
    <t>Coal Quantity mismatch in Anaplan</t>
  </si>
  <si>
    <t>Version Setup was not setup properly(user awareness)</t>
  </si>
  <si>
    <t>Shares service data is showing in Integrated version but not showing in working &amp; submission version</t>
  </si>
  <si>
    <t>Page was not refreshed properly(user awareness).</t>
  </si>
  <si>
    <t>Specific consumption and qty is not flowing to cost report</t>
  </si>
  <si>
    <t>Refresh rate's action wasnt run by user</t>
  </si>
  <si>
    <t xml:space="preserve">RMHS data is not reflecting </t>
  </si>
  <si>
    <t>Depreciation issue - Anaplan ABP FY'26</t>
  </si>
  <si>
    <t>RM user had planned the data in different material and IM user had planned data in different material</t>
  </si>
  <si>
    <t>Rates are not coming in Kalamang IO in ABP FY 26</t>
  </si>
  <si>
    <t>IM -TSK</t>
  </si>
  <si>
    <t>Driver set up not completed in Anaplan by user</t>
  </si>
  <si>
    <t>BRPL &amp; Purchase pellet rate not showing Anaplan cost sheet</t>
  </si>
  <si>
    <t>User to update the data in cell published</t>
  </si>
  <si>
    <t>Compensation Cess - Wet Coal (Rs/T) is not flowing to Cost Sheet</t>
  </si>
  <si>
    <t>RM didnt pushed the qty to integration</t>
  </si>
  <si>
    <t>Coal &amp; IO ka despatch qty is not flowing to IM from RM</t>
  </si>
  <si>
    <t>Incorrect allocation % updated in Anaplan - different % used in manual planning</t>
  </si>
  <si>
    <t>RMHS cost not flowing correctly</t>
  </si>
  <si>
    <t>Aggregation Mapping was missing and refresh rate’s action was not ran</t>
  </si>
  <si>
    <t>Extruded Briquette’s Consumption Cost(Rs/T) was not flowing to BF’s Cost Sheet</t>
  </si>
  <si>
    <t>IM -TSJ</t>
  </si>
  <si>
    <t>Since rate is coming through central assumption so we had to select cost head's drivers accordingly</t>
  </si>
  <si>
    <t>EPA Pellet not flowing to cost sheet</t>
  </si>
  <si>
    <t>Allocation% not updated and new GLs were required to be pulled</t>
  </si>
  <si>
    <t>IT chargeback is not flowing in cost sheet</t>
  </si>
  <si>
    <t xml:space="preserve"> Inbound Action was not run to pull the wages data</t>
  </si>
  <si>
    <t>Wages is not shown in HMC cost sheet</t>
  </si>
  <si>
    <t>Gross Coke’s Mappings were missing to split Coke Breeze</t>
  </si>
  <si>
    <t>Coke Breeze cost is not reflected in pellet cost sheet</t>
  </si>
  <si>
    <t>Other cost to run outbound action to push the rates</t>
  </si>
  <si>
    <t>Imported coal cost is not flowing from Other Cost</t>
  </si>
  <si>
    <t>Moisture Content was not flowing to Coke Plants.</t>
  </si>
  <si>
    <t>Grid to see HMC Production was already published, user was looking in different grid</t>
  </si>
  <si>
    <t>HMC prod cannot be viewed in report 7.1. Request you to help.</t>
  </si>
  <si>
    <t>Kalamang CLO Despatches is not appearing in Royalty Planning Sheet</t>
  </si>
  <si>
    <t>The changes in Noamundi IOPP ROM is not visible in Royalty Planning sheet</t>
  </si>
  <si>
    <t>In OMQ Cost Planning, Kalamang Change in WIP is appearing incorrect as it is showing closing stock whereas in actual there is no closing stock as per system</t>
  </si>
  <si>
    <t>Add Kalamang CLO in Kalamang FG Costing sheet and also cost without royalty as both these elements are not being visible</t>
  </si>
  <si>
    <t>Incorrect NR in OMQ POP</t>
  </si>
  <si>
    <t>User missed updating input</t>
  </si>
  <si>
    <t xml:space="preserve">Opening stock in QSE but are still unable to view the inventory for the same </t>
  </si>
  <si>
    <t>Missing mapping by user</t>
  </si>
  <si>
    <t xml:space="preserve">Jharia BCCL Volumes is showing different nos in different places </t>
  </si>
  <si>
    <t>User changed the number as seen in history</t>
  </si>
  <si>
    <t xml:space="preserve">Despatch nos are distorted( highly inflated)  in OMQ FG Mat Bal </t>
  </si>
  <si>
    <t>User has to push the consumption then rates flow from other cost</t>
  </si>
  <si>
    <t xml:space="preserve">HSD Rates was not flowing  </t>
  </si>
  <si>
    <t>User entered in wrong sheet</t>
  </si>
  <si>
    <t>For Vijaya II, Royalty per tonne ( Royalty, DMF, NMET) etc are not appearing even though we have entered Royalty rates in Assumption sheet.</t>
  </si>
  <si>
    <t>User referring wrong dashboard link</t>
  </si>
  <si>
    <t xml:space="preserve">OMQ Cost sheets look distorted making it difficult to check nos </t>
  </si>
  <si>
    <t>Wrong dashboard was being referred</t>
  </si>
  <si>
    <t xml:space="preserve">Own clean coal and output not visible </t>
  </si>
  <si>
    <t>Helping users by showing them how to refer FY25 for their references</t>
  </si>
  <si>
    <t>General</t>
  </si>
  <si>
    <t>Helping users to upload bulk/strategic procurement rates</t>
  </si>
  <si>
    <t>Helping users to upload calendar, central assumptions</t>
  </si>
  <si>
    <t>Helping users to upload GAGW monthly allocation percentage for monthly plan data</t>
  </si>
  <si>
    <t>Navigating in previous year models for references</t>
  </si>
  <si>
    <t>Helping users to upload GAGW plan data for all tracks</t>
  </si>
  <si>
    <t>Exporting/importing data into Anaplan system</t>
  </si>
  <si>
    <t>Helping users to use features of drill down , pivot etc to take download of the file from system as per requirement</t>
  </si>
  <si>
    <t>Reconciling material balance, cost sheet differences, Geo PL differences</t>
  </si>
  <si>
    <t>Helping in reconciling integration data pushed by other tracks like depreciation, IT chargeback, GWTM</t>
  </si>
  <si>
    <t>Setting up driver for new material/cost head addition</t>
  </si>
  <si>
    <t>Helping in version movement for all tracks</t>
  </si>
  <si>
    <t>Running inbound/outbound actions to pull or push the data from/to other tracks</t>
  </si>
  <si>
    <t>Helping in updating driver set up for new additions of CC or CH or materials and add in cost sheets, inventory , Geo PL</t>
  </si>
  <si>
    <t>Updating production data, stock balances, wages cost, KPI requirements, transfer quantities</t>
  </si>
  <si>
    <t>Helping in running inbound/outbound integration actions to push/pull the data in the system from/to other tracks</t>
  </si>
  <si>
    <t>Helping Users in -</t>
  </si>
  <si>
    <t>Helping users to update data like production numbers, SPC, Stock for mat bal and inventory, depreciation allocation, IT chargeback allocation, abnormal cost, freight, Wages, KPI requirements, rates, transfer quantities and rates</t>
  </si>
  <si>
    <t>Issue Description</t>
  </si>
  <si>
    <t>Remarks</t>
  </si>
  <si>
    <t>Description</t>
  </si>
  <si>
    <t>Users</t>
  </si>
  <si>
    <t>Issue</t>
  </si>
  <si>
    <t>IT : System Issue</t>
  </si>
  <si>
    <t>Issues in uploading depreciation for addition</t>
  </si>
  <si>
    <t>Megha</t>
  </si>
  <si>
    <t>Deepti</t>
  </si>
  <si>
    <t>Depreciation</t>
  </si>
  <si>
    <t>Workshop</t>
  </si>
  <si>
    <t>User : Business Logic Issue</t>
  </si>
  <si>
    <t>Guided user how to to move the data from working and submission to integrated version</t>
  </si>
  <si>
    <t>User : Master Data</t>
  </si>
  <si>
    <t>LD Sludge Briquette – Mapping needs to be under HM+Scrap</t>
  </si>
  <si>
    <t>Yenugu V</t>
  </si>
  <si>
    <t>Ijas Azad</t>
  </si>
  <si>
    <t>TSM Upstream</t>
  </si>
  <si>
    <t xml:space="preserve">SM </t>
  </si>
  <si>
    <t xml:space="preserve">Offline </t>
  </si>
  <si>
    <t>lab inventory report slab cons is not appearing</t>
  </si>
  <si>
    <t>User Awareness</t>
  </si>
  <si>
    <t>Guided user on Dep allocation for new CC's</t>
  </si>
  <si>
    <t>Pending with IBMD team</t>
  </si>
  <si>
    <t>lime fines rate not flowign</t>
  </si>
  <si>
    <t>lump &amp; dolo lime rates are not flowing to SM Cost sheet</t>
  </si>
  <si>
    <t>Rates were pending with IM and IBDM team</t>
  </si>
  <si>
    <t>Iron ore &amp; Pig iron rates are not flowing</t>
  </si>
  <si>
    <t>Diff between data updated by SS team and SM teams offline working</t>
  </si>
  <si>
    <t>diff in R&amp;M for lcp &amp; dolo &amp; steam details are not flowing</t>
  </si>
  <si>
    <t xml:space="preserve">Guidede user on where to check GAGW data </t>
  </si>
  <si>
    <t>Was searching under wrong code</t>
  </si>
  <si>
    <t xml:space="preserve">silico manganese not available for planning - </t>
  </si>
  <si>
    <t>User : Mappings Missing</t>
  </si>
  <si>
    <t>planned the CR scrap in scrap module but it is not flowing in anaplan cost sheet</t>
  </si>
  <si>
    <t>after mapping pig iron own the data is not flowing in BOF</t>
  </si>
  <si>
    <t>Guided user on Wages input in OC and how to pull it back to SM</t>
  </si>
  <si>
    <t>Version movement issue Anaplan</t>
  </si>
  <si>
    <t>Guided user on the data flow of M&amp;S from integration</t>
  </si>
  <si>
    <t>Meltin Scrap not in HM+Scrap</t>
  </si>
  <si>
    <t>Anaplan SM action issue</t>
  </si>
  <si>
    <t>Trinath Sahoo</t>
  </si>
  <si>
    <t>TSK</t>
  </si>
  <si>
    <t>UAT Point</t>
  </si>
  <si>
    <t>GW cost is not coming in anaplan RCL Cost shee</t>
  </si>
  <si>
    <r>
      <rPr>
        <sz val="11"/>
        <color rgb="FF000000"/>
        <rFont val="Aptos"/>
        <family val="2"/>
      </rPr>
      <t xml:space="preserve">Rate is in sync with Integration model. It has been wrongly updated by concerned team in </t>
    </r>
    <r>
      <rPr>
        <b/>
        <sz val="11"/>
        <color rgb="FF000000"/>
        <rFont val="Aptos"/>
        <family val="2"/>
      </rPr>
      <t>integration model itself</t>
    </r>
    <r>
      <rPr>
        <sz val="11"/>
        <color rgb="FF000000"/>
        <rFont val="Aptos"/>
        <family val="2"/>
      </rPr>
      <t>.</t>
    </r>
  </si>
  <si>
    <t>Silico Manganese 60/14 – Lumps not reflecting in SM</t>
  </si>
  <si>
    <t>Rate for Iron Oxide CRM not reflecting in SM</t>
  </si>
  <si>
    <t>GP Crop End’s rate is wrong for Mar’26 in</t>
  </si>
  <si>
    <t>UAT point</t>
  </si>
  <si>
    <t>CAL Rate not considered for SCRAP CRCA CONSOLIDATED</t>
  </si>
  <si>
    <r>
      <t xml:space="preserve">Mismathc in </t>
    </r>
    <r>
      <rPr>
        <sz val="11"/>
        <color rgb="FF000000"/>
        <rFont val="Aptos Narrow"/>
        <family val="2"/>
        <charset val="1"/>
      </rPr>
      <t>HR crop end &amp; CR crop end quantity</t>
    </r>
  </si>
  <si>
    <t>Diff found between IBMD rate and TSK team rate</t>
  </si>
  <si>
    <t>TSK Standard rate for all scrap materials are not showing in integration model.</t>
  </si>
  <si>
    <t>Diff found between procurement team rate and TSK team rate</t>
  </si>
  <si>
    <t>Bulk commodity rate in anaplan</t>
  </si>
  <si>
    <t>Not able to Move Data in Anaplan</t>
  </si>
  <si>
    <t>Sanjeev</t>
  </si>
  <si>
    <t>TSM Downstream</t>
  </si>
  <si>
    <t>time dimension in Opening inventory  in 1.4.6 CRM material Balancing.</t>
  </si>
  <si>
    <t>Working submission and integrated not matching</t>
  </si>
  <si>
    <t>Guided user on how to run outbound action</t>
  </si>
  <si>
    <t>Guided user to update the figures in WIP, whcih was previously left out for planning</t>
  </si>
  <si>
    <t>Guided user to do navigation to WCDC Pages and SM app</t>
  </si>
  <si>
    <t>Guided user on how to run inbound action</t>
  </si>
  <si>
    <t>Guided user how to push data from SM to integration model</t>
  </si>
  <si>
    <t>Guided user on where to check inventory and explained the working of invnentory and it's impact on cost sheet</t>
  </si>
  <si>
    <t>Guided user on where to input Opening Stock and rate for downstream</t>
  </si>
  <si>
    <t>Guided user on where to input production figures</t>
  </si>
  <si>
    <t>Guided user on how to input data in Anaplan by referring the FY25 App</t>
  </si>
  <si>
    <t>Purchase and Spc volume version movement is not working</t>
  </si>
  <si>
    <t>Rinisha Dey</t>
  </si>
  <si>
    <t>TSJ-LP</t>
  </si>
  <si>
    <t>Offline</t>
  </si>
  <si>
    <t xml:space="preserve">Guided user on version movement </t>
  </si>
  <si>
    <t>Guided user on how to add new cost centre (ISWP) for internal transfer</t>
  </si>
  <si>
    <t>Guided user on how to push scrap cons to integration</t>
  </si>
  <si>
    <t>USer : Master Data</t>
  </si>
  <si>
    <t>146002402 Material Addition</t>
  </si>
  <si>
    <t>Guided user on where to input SPC Figures</t>
  </si>
  <si>
    <t>Guided user on Dep allocation logics in Anaplan for SM</t>
  </si>
  <si>
    <t>TSJ - LP</t>
  </si>
  <si>
    <t xml:space="preserve">Guided user on where to input Opening Stock </t>
  </si>
  <si>
    <t>Guided user on where to check the pushed numbers from SM in integration view</t>
  </si>
  <si>
    <t>Guided user on where to input materia by product assumptions</t>
  </si>
  <si>
    <t>Guided user on how to push prod data to integration</t>
  </si>
  <si>
    <t>WCDC Access Issue</t>
  </si>
  <si>
    <t>RInisha Dey</t>
  </si>
  <si>
    <t xml:space="preserve"> Master Data Issue</t>
  </si>
  <si>
    <t xml:space="preserve">ISWP Plant code issue </t>
  </si>
  <si>
    <t>SM</t>
  </si>
  <si>
    <t>NMB Composite version import not working</t>
  </si>
  <si>
    <t>neha.kumari1@tatasteel.com</t>
  </si>
  <si>
    <t>Neha Kumari</t>
  </si>
  <si>
    <t>TSJ</t>
  </si>
  <si>
    <t>NMB</t>
  </si>
  <si>
    <t>M&amp;S User not able to export data across version and run action for export in anaplan</t>
  </si>
  <si>
    <t>M&amp;S</t>
  </si>
  <si>
    <t>ABP FY 26 Anaplan Queries</t>
  </si>
  <si>
    <t>shubham.chowdhury@tatasteel.com</t>
  </si>
  <si>
    <t>Enhancement in trasfer price integration / action</t>
  </si>
  <si>
    <t>Jyoti</t>
  </si>
  <si>
    <t>Neeru Bhasin</t>
  </si>
  <si>
    <t>Enhancements for inventory</t>
  </si>
  <si>
    <t>Ruchika</t>
  </si>
  <si>
    <t>Wires action correction - GAGW</t>
  </si>
  <si>
    <t>Enhancements in Expense / Segment wise calculation</t>
  </si>
  <si>
    <t xml:space="preserve">ISWP cost sheet </t>
  </si>
  <si>
    <t>Sursain Singh</t>
  </si>
  <si>
    <t>Service request for BRPL requirement in Other Cost</t>
  </si>
  <si>
    <t>Swati Verma</t>
  </si>
  <si>
    <t>Anshu</t>
  </si>
  <si>
    <t>OC</t>
  </si>
  <si>
    <t>Instead of serial number, IO numbers are coming as highlighted. Pls check:</t>
  </si>
  <si>
    <t>Anaplan Onetime FY26</t>
  </si>
  <si>
    <t>for tagging of IT chargeback cost centers in Anaplan Other Cost</t>
  </si>
  <si>
    <t xml:space="preserve"> Overall GAGW ABP FY26: Unable to see the % updation input Tabs for Quarters in Anaplan for module 2.2 Approved Budget-Overall GAGW Cost (Monthly/Lakhs)</t>
  </si>
  <si>
    <t>Ekta Sharma</t>
  </si>
  <si>
    <t>TSM Tubes 2.06 Geo P&amp;L Khopoli not matching</t>
  </si>
  <si>
    <t>TSM</t>
  </si>
  <si>
    <t>Service request for applying time filter in Tubes Production report view -  Anaplan production</t>
  </si>
  <si>
    <t xml:space="preserve">Issue with Downloaded file for Anaplan </t>
  </si>
  <si>
    <t>Nitin  Rathore</t>
  </si>
  <si>
    <t>Bearing</t>
  </si>
  <si>
    <t>LP Version Issue</t>
  </si>
  <si>
    <t>LP Sales Volume Mismatch - ANAPLAN SM</t>
  </si>
  <si>
    <t>No. of days</t>
  </si>
  <si>
    <t>Resolved on</t>
  </si>
  <si>
    <t xml:space="preserve">Raised on </t>
  </si>
  <si>
    <t>Issue category</t>
  </si>
  <si>
    <t>Ticket Description</t>
  </si>
  <si>
    <t>Requester</t>
  </si>
  <si>
    <t>IT Lead</t>
  </si>
  <si>
    <t>Location</t>
  </si>
  <si>
    <t xml:space="preserve">Track </t>
  </si>
  <si>
    <t>Ticket No</t>
  </si>
  <si>
    <t>Bhawna Singh</t>
  </si>
  <si>
    <t>TSJ-FP</t>
  </si>
  <si>
    <t>Offine</t>
  </si>
  <si>
    <t>IT: Change</t>
  </si>
  <si>
    <t>Megha Bajaj</t>
  </si>
  <si>
    <t>Deprection</t>
  </si>
  <si>
    <t>6120020 GL was not mapped for Geo P&amp;L for Nest in</t>
  </si>
  <si>
    <t>Ankita Agarwal</t>
  </si>
  <si>
    <t>S&amp;S Nestin</t>
  </si>
  <si>
    <t>Mail</t>
  </si>
  <si>
    <t>Version import not working for NMB Alliance and ventures</t>
  </si>
  <si>
    <t>Anaplan support in PC- TCIL</t>
  </si>
  <si>
    <t>Shruti Kumari</t>
  </si>
  <si>
    <t>Anaplan- Total CC Final Cost Allocation.</t>
  </si>
  <si>
    <t>Anaplan support for PC- TCIL(Tinplate)</t>
  </si>
  <si>
    <t>FW: Error at the time of outbound integration in Anaplan-Inventory</t>
  </si>
  <si>
    <t>Material code insert in Anaplan (FAMD)</t>
  </si>
  <si>
    <t>Nitin Sharma</t>
  </si>
  <si>
    <t>Data Not flowing into Anaplan</t>
  </si>
  <si>
    <t>Rakesh Raushan</t>
  </si>
  <si>
    <t>Raised on (date and time)</t>
  </si>
  <si>
    <t>No issues reported</t>
  </si>
  <si>
    <t>IT : Master Data</t>
  </si>
  <si>
    <t>Missing Material in Anaplan</t>
  </si>
  <si>
    <t>Access was already given</t>
  </si>
  <si>
    <t>Authority for updating volume in Anaplan.</t>
  </si>
  <si>
    <t>Guided user on the wokring of Invnetory and the flow from wt av to next stages and actions to be run</t>
  </si>
  <si>
    <t>Guidede user on scrap credit calculcation logic</t>
  </si>
  <si>
    <t>Yield was not udpated correctly</t>
  </si>
  <si>
    <t>SPC Output mismatch</t>
  </si>
  <si>
    <t>Guided user on where to input Non Prime material and how to push the same to integration</t>
  </si>
  <si>
    <t>Guided user on how to initiate the version movmement</t>
  </si>
  <si>
    <t>Guided user on how to run inbound and outbound actions</t>
  </si>
  <si>
    <t>Explained the allocation logic of depreciation and impact of the same in cost sheets</t>
  </si>
  <si>
    <t xml:space="preserve">Guided user on where to check WSS </t>
  </si>
  <si>
    <t xml:space="preserve">Guided user on the working of GAGW in SM </t>
  </si>
  <si>
    <t>Guided user on where to check integration data in Anaplan</t>
  </si>
  <si>
    <t>Guided user on how to udpate wages in OC page and inbound / outbound actions</t>
  </si>
  <si>
    <t>Guided user on where to udpate the input material figures</t>
  </si>
  <si>
    <t>Guided user on how to udpate the CC to CH mappings</t>
  </si>
  <si>
    <t>Guided user on where to udpate the production figures</t>
  </si>
  <si>
    <t>Due to delay SM team requested manual adjustment which was given on same day.</t>
  </si>
  <si>
    <t>Delay in freight udpation by SPC team</t>
  </si>
  <si>
    <t>Rinsha Dey</t>
  </si>
  <si>
    <t>Guided user on identifying gaps in GeoPL by showing backend calcualtions and other requried reports for closures</t>
  </si>
  <si>
    <t xml:space="preserve">GA Unabsorded diff between offline shared and the one udpated by GA team in anaplan. Manual Adjutment given </t>
  </si>
  <si>
    <t>GA Unabsorbed Cost_ABP FY26_Anaplan</t>
  </si>
  <si>
    <t>SS team had udpated the data in wrong cost centre.</t>
  </si>
  <si>
    <t>Clean CO Gas not flowing in RBM</t>
  </si>
  <si>
    <t>IT : Access</t>
  </si>
  <si>
    <t>Unable to push billet cost due to authorisation issue (screen shot attached)</t>
  </si>
  <si>
    <t>Nut Coke was pending with IM team</t>
  </si>
  <si>
    <t>Nut Coke not flowing</t>
  </si>
  <si>
    <t>Diff found between offline excel rate and IBMD rate in Anaplan</t>
  </si>
  <si>
    <t>Scrap rates not matching</t>
  </si>
  <si>
    <t>Diff found between offline excel rate and Bulk teams rate in Anaplan</t>
  </si>
  <si>
    <t>Bulk Commodities_mismatch ABP FY26</t>
  </si>
  <si>
    <t>DET  Sales not reflecting correctly for TMT</t>
  </si>
  <si>
    <t>Ankit Churiwala</t>
  </si>
  <si>
    <t>Deprectiaion from FP were allcoated in wrong CC .</t>
  </si>
  <si>
    <t>Depreciation CC issue</t>
  </si>
  <si>
    <t>As per existing logic , formula will only work in case of receipt not equal to zero later this logic was removed as per TSG team</t>
  </si>
  <si>
    <t>West Bokaro coal consumption not flowing in MatBal</t>
  </si>
  <si>
    <t>Change in time range for BPPL for FY 26</t>
  </si>
  <si>
    <t>BPPL</t>
  </si>
  <si>
    <t>Geo P/L</t>
  </si>
  <si>
    <t>Display of Cost and  Credit line item was off in the TSK Geo P&amp;L report, hence cost was not showing in the report</t>
  </si>
  <si>
    <t>Arshad</t>
  </si>
  <si>
    <t>Tagging of MRP Scrap metallics with GL is not maintained. This was not planned in the last year. For any new material GL tagging needs to be done in the dashboard.</t>
  </si>
  <si>
    <t>Quantity to be entered upto 3 places of decimal for accurate revenue.</t>
  </si>
  <si>
    <t>Depreciation value for IBMD will not flow from Business plan. This will come directly in FP</t>
  </si>
  <si>
    <t>Logics changes in workshop mode</t>
  </si>
  <si>
    <t>Change in stock logic change</t>
  </si>
  <si>
    <t>Manoj Saha</t>
  </si>
  <si>
    <t>4. Misc Exp to be linked with manual input</t>
  </si>
  <si>
    <t>3. GAGW to be added and linked with GAGW</t>
  </si>
  <si>
    <t>2. Contract Labour to be added</t>
  </si>
  <si>
    <t>1. Granulated slag impacting yield % - this needs to be excluded from scrap % formula</t>
  </si>
  <si>
    <t>changes in Anaplan -PI &amp; DI</t>
  </si>
  <si>
    <t>3 new cost head to be linked</t>
  </si>
  <si>
    <t>Master data addition - Under PI Scrap credits</t>
  </si>
  <si>
    <t>Coke Breeze imported formulae updated.</t>
  </si>
  <si>
    <t>Coke Breeze consumption formulae updated.</t>
  </si>
  <si>
    <t>Coal Imp Anthra consumption formulae updated.</t>
  </si>
  <si>
    <t>Following formulaes were updated during ABP FY26 number updation.</t>
  </si>
  <si>
    <t>Iron ore Transfer price integration</t>
  </si>
  <si>
    <t>NR as per Debtors planning not correct in TSMD Anaplan</t>
  </si>
  <si>
    <t>Action not able to run</t>
  </si>
  <si>
    <t>Ammu</t>
  </si>
  <si>
    <t>LP</t>
  </si>
  <si>
    <t>Formula error in NMB Geo P&amp;L screen</t>
  </si>
  <si>
    <t>Shubham Roy Chowdhury</t>
  </si>
  <si>
    <t>DET hierarchy not getting updated correctly in integration in Anaplan</t>
  </si>
  <si>
    <t>Monthly report not appearing in DI Cost sheet anaplan tsmd</t>
  </si>
  <si>
    <t>Sales value not matching in DI Sheet in TSMD ANAPLAN</t>
  </si>
  <si>
    <t>Pushing data for FP</t>
  </si>
  <si>
    <t>Jyoti Ashok Netravali</t>
  </si>
  <si>
    <t>Mapping updation</t>
  </si>
  <si>
    <t>Cost flowing issue</t>
  </si>
  <si>
    <t>Yield / cost not updated</t>
  </si>
  <si>
    <t>Logic changes</t>
  </si>
  <si>
    <t>ISWP - town &amp; medical</t>
  </si>
  <si>
    <t>Sursain</t>
  </si>
  <si>
    <t>Anaplan Updation_FAMD</t>
  </si>
  <si>
    <t>Sunny Kumar Bhalotia</t>
  </si>
  <si>
    <t>Ankul Kumar</t>
  </si>
  <si>
    <t>Anaplan updation</t>
  </si>
  <si>
    <t xml:space="preserve"> VP E&amp;P Admin &amp; Other Corp Exp- ABP FY26 </t>
  </si>
  <si>
    <t>New CC is not marked in the subset</t>
  </si>
  <si>
    <t>Wires- Anaplan- Issues (Other Cost Planning module)</t>
  </si>
  <si>
    <t>Depreciation cc not marked in the subset</t>
  </si>
  <si>
    <t>Some Depreciation CCs were missing</t>
  </si>
  <si>
    <t>Depreciation , Stores &amp; Central IT cost Mismatch</t>
  </si>
  <si>
    <t>Prasanjit Puhan</t>
  </si>
  <si>
    <t>Users ask to update the logic</t>
  </si>
  <si>
    <t>Mining Cost is not added In Total cost In annaplan</t>
  </si>
  <si>
    <t>Prabina Kumar Barik</t>
  </si>
  <si>
    <t>FW: FAMD- Mn Mines - Differences in the Quarterly and Half Yearly  Figure Amount and COP Anaplan</t>
  </si>
  <si>
    <t xml:space="preserve">Anaplan FY 26 - FAMD </t>
  </si>
  <si>
    <t>Tubes TSJ Anaplan ABP PNote issue</t>
  </si>
  <si>
    <t>New Development in FY26</t>
  </si>
  <si>
    <t>FAMD UAT SiMn plant</t>
  </si>
  <si>
    <t>Ravi Sharma</t>
  </si>
  <si>
    <t>Moisture Content % not pulled</t>
  </si>
  <si>
    <t>Coal rates (Dry) not flowing</t>
  </si>
  <si>
    <t>Anuj Sharma</t>
  </si>
  <si>
    <t>Arati Shaw</t>
  </si>
  <si>
    <t>SS</t>
  </si>
  <si>
    <t>Feasibility of adjustment of Inward wheeling rate</t>
  </si>
  <si>
    <t>Nagendra Panda</t>
  </si>
  <si>
    <t>Since RM hasnt pushed the qty to integration i.e it was not reflecting in IM as well. User can check the data in dashboards published in integration views while pulling or pushing the data.</t>
  </si>
  <si>
    <t>Manoj Kumar Ganta</t>
  </si>
  <si>
    <t>IM</t>
  </si>
  <si>
    <t>Kalinga Keshri Panda</t>
  </si>
  <si>
    <t>RM user has planned and sent the data in wrong CC, all required views are published users can check the data while pushing or pulling the data</t>
  </si>
  <si>
    <t>The material was missing in anaplan</t>
  </si>
  <si>
    <t xml:space="preserve"> Vijay 2 fines - Anaplan IM TSM is missing </t>
  </si>
  <si>
    <t>there was an access issue at organization level in Integration Model which is resolved</t>
  </si>
  <si>
    <t>Connected in Workshop Mode</t>
  </si>
  <si>
    <t>Specific Consumption Inputs for Non Prime Materials and pushing the same to integration model</t>
  </si>
  <si>
    <t>Soumitra Sarangi / Bhawna Singh</t>
  </si>
  <si>
    <t>TSJ- FP</t>
  </si>
  <si>
    <t xml:space="preserve">CRM Volume Planning Grids </t>
  </si>
  <si>
    <t xml:space="preserve">TSJ-FP </t>
  </si>
  <si>
    <t xml:space="preserve">Inbound Outbound Action </t>
  </si>
  <si>
    <t>Bulk Procurement Rates not flowing</t>
  </si>
  <si>
    <t>mapping issues and user awaness regarding the dashboard.</t>
  </si>
  <si>
    <t>Jharia Issues</t>
  </si>
  <si>
    <t>Rajesh Kumar</t>
  </si>
  <si>
    <t>Rashmi Seth</t>
  </si>
  <si>
    <t>one product was not mapping</t>
  </si>
  <si>
    <t>Jharia BCCL Volumes is showing different nos in different places</t>
  </si>
  <si>
    <t>Urja Saraogi</t>
  </si>
  <si>
    <t>mapping was done 2 times by mistake by IT</t>
  </si>
  <si>
    <t>mapping was not done correctly</t>
  </si>
  <si>
    <t>Aditya Panda</t>
  </si>
  <si>
    <t xml:space="preserve"> this was a new requiremnet so it was made in backend but it was missed to be published on frontend</t>
  </si>
  <si>
    <t>unable to view JMBL Cess in any of the OMQ Cost sheets( Noamundi, Vijaya II and OMQ Total Cost sheet.</t>
  </si>
  <si>
    <t>Numbers were changed, history is showing users name</t>
  </si>
  <si>
    <t>Despatch nos are distorted( highly inflated)  in OMQ FG Mat Bal</t>
  </si>
  <si>
    <t>Initially RM had to push data to OC then, pull the rates but action was not run</t>
  </si>
  <si>
    <t>HSD Rates issue</t>
  </si>
  <si>
    <t>For TSM mapping was missing</t>
  </si>
  <si>
    <t>Vijaya II Low grade despatch is wrong</t>
  </si>
  <si>
    <t>user had entered data in wrong sheet</t>
  </si>
  <si>
    <t>User was viewing from wrong hyperlink</t>
  </si>
  <si>
    <t>OMQ Cost sheets look distorted making it difficult to check nos</t>
  </si>
  <si>
    <t>M&amp;S Issue resolved on 24th .User Confirmation on 25th and Master Data issue was resolved on 26th.</t>
  </si>
  <si>
    <t>Transfers from TSJ/TSK not alligned</t>
  </si>
  <si>
    <t>Inbound Integration Action - Issue</t>
  </si>
  <si>
    <t>Since "Coke Other" was new addition, so user have to do all the required mappings in all required CCs and  Versions</t>
  </si>
  <si>
    <t>Bhavika Bansal</t>
  </si>
  <si>
    <t xml:space="preserve">Coke Plant Prodn and Coke Consumption Rate  cannot be seen in 7.3 screen, but it correctly seen in screen 3.1
</t>
  </si>
  <si>
    <t xml:space="preserve">Inbound Integration Action </t>
  </si>
  <si>
    <t>TSJ/ (OC)</t>
  </si>
  <si>
    <t>Medha Agarwal</t>
  </si>
  <si>
    <t>User was veiwing wrong dashboard</t>
  </si>
  <si>
    <t>For Jharia Own  Volume Planning in ABP'26, we have entered raw Coal Volume and yield. However, Own Clean Coal and other Output nos are not appearing. Kindly update.</t>
  </si>
  <si>
    <t>Jharia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</si>
</sst>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1">
    <font>
      <sz val="11"/>
      <color theme="1"/>
      <name val="Calibri"/>
      <family val="2"/>
      <scheme val="minor"/>
    </font>
    <font>
      <b/>
      <sz val="11"/>
      <color theme="1"/>
      <name val="Calibri"/>
      <family val="2"/>
      <scheme val="minor"/>
    </font>
    <font>
      <sz val="10"/>
      <color theme="1"/>
      <name val="Arial"/>
      <family val="2"/>
    </font>
    <font>
      <sz val="11"/>
      <color theme="1"/>
      <name val="Arial"/>
      <family val="2"/>
    </font>
    <font>
      <b/>
      <sz val="11"/>
      <color theme="1"/>
      <name val="Arial"/>
      <family val="2"/>
    </font>
    <font>
      <sz val="11"/>
      <color rgb="FF000000"/>
      <name val="Arial"/>
    </font>
    <font>
      <sz val="10"/>
      <color rgb="FF000000"/>
      <name val="Arial"/>
      <family val="2"/>
    </font>
    <font>
      <b/>
      <sz val="10"/>
      <color theme="1"/>
      <name val="Arial"/>
      <family val="2"/>
    </font>
    <font>
      <sz val="11"/>
      <color theme="1"/>
      <name val="Calibri"/>
      <family val="2"/>
      <charset val="1"/>
    </font>
    <font>
      <sz val="11"/>
      <color theme="1"/>
      <name val="Aptos"/>
      <family val="2"/>
      <charset val="1"/>
    </font>
    <font>
      <sz val="11"/>
      <color rgb="FF000000"/>
      <name val="Aptos"/>
      <family val="2"/>
    </font>
    <font>
      <b/>
      <sz val="11"/>
      <color rgb="FF000000"/>
      <name val="Aptos"/>
      <family val="2"/>
    </font>
    <font>
      <sz val="11"/>
      <color rgb="FF000000"/>
      <name val="Aptos Narrow"/>
      <family val="2"/>
      <charset val="1"/>
    </font>
    <font>
      <sz val="11"/>
      <color rgb="FF000000"/>
      <name val="Calibri"/>
      <family val="2"/>
      <scheme val="minor"/>
    </font>
    <font>
      <sz val="11"/>
      <color rgb="FF000000"/>
      <name val="Aptos Narrow"/>
      <family val="2"/>
    </font>
    <font>
      <sz val="11"/>
      <color rgb="FF000000"/>
      <name val="Calibri"/>
      <family val="2"/>
    </font>
    <font>
      <b/>
      <sz val="11"/>
      <color rgb="FF000000"/>
      <name val="Calibri"/>
      <family val="2"/>
    </font>
    <font>
      <sz val="11"/>
      <color theme="1"/>
      <name val="Aptos"/>
      <family val="2"/>
    </font>
    <font>
      <sz val="10"/>
      <color rgb="FF000000"/>
      <name val="Aptos Narrow"/>
      <family val="2"/>
    </font>
    <font>
      <sz val="11"/>
      <color theme="1"/>
      <name val="Aptos Narrow"/>
      <family val="2"/>
    </font>
    <font>
      <sz val="11"/>
      <color rgb="FF242424"/>
      <name val="Aptos Narrow"/>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1">
    <xf numFmtId="0" fontId="0" fillId="0" borderId="0"/>
  </cellStyleXfs>
  <cellXfs count="108">
    <xf numFmtId="0" fontId="0" fillId="0" borderId="0" xfId="0"/>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0" fillId="0" borderId="0" xfId="0" applyAlignment="1">
      <alignment wrapText="1"/>
    </xf>
    <xf numFmtId="0" fontId="5" fillId="0" borderId="1" xfId="0" applyFont="1" applyBorder="1" applyAlignment="1">
      <alignment wrapText="1" readingOrder="1"/>
    </xf>
    <xf numFmtId="0" fontId="6" fillId="0" borderId="0" xfId="0" applyFont="1" applyAlignment="1">
      <alignment vertical="top" wrapText="1"/>
    </xf>
    <xf numFmtId="0" fontId="7" fillId="0" borderId="0" xfId="0" applyFont="1" applyAlignment="1">
      <alignment wrapText="1"/>
    </xf>
    <xf numFmtId="0" fontId="7" fillId="0" borderId="0" xfId="0" applyFont="1"/>
    <xf numFmtId="0" fontId="0" fillId="0" borderId="0" xfId="0" applyAlignment="1">
      <alignment vertical="top"/>
    </xf>
    <xf numFmtId="2" fontId="0" fillId="0" borderId="0" xfId="0" applyNumberFormat="1" applyAlignment="1">
      <alignment vertical="top"/>
    </xf>
    <xf numFmtId="164" fontId="0" fillId="0" borderId="0" xfId="0" applyNumberFormat="1" applyAlignment="1">
      <alignment vertical="top"/>
    </xf>
    <xf numFmtId="2" fontId="0" fillId="0" borderId="2" xfId="0" applyNumberFormat="1" applyBorder="1" applyAlignment="1">
      <alignment vertical="top"/>
    </xf>
    <xf numFmtId="2" fontId="0" fillId="0" borderId="0" xfId="0" applyNumberFormat="1"/>
    <xf numFmtId="164" fontId="0" fillId="0" borderId="0" xfId="0" applyNumberFormat="1"/>
    <xf numFmtId="0" fontId="8" fillId="0" borderId="0" xfId="0" applyFont="1"/>
    <xf numFmtId="0" fontId="9" fillId="0" borderId="0" xfId="0" applyFont="1"/>
    <xf numFmtId="0" fontId="10" fillId="0" borderId="0" xfId="0" applyFont="1"/>
    <xf numFmtId="0" fontId="0" fillId="0" borderId="1" xfId="0" applyBorder="1" applyAlignment="1">
      <alignment vertical="top"/>
    </xf>
    <xf numFmtId="16" fontId="0" fillId="0" borderId="3" xfId="0" applyNumberFormat="1" applyBorder="1" applyAlignment="1">
      <alignment vertical="top"/>
    </xf>
    <xf numFmtId="0" fontId="13" fillId="0" borderId="4" xfId="0" applyFont="1" applyBorder="1"/>
    <xf numFmtId="0" fontId="0" fillId="0" borderId="1" xfId="0" applyBorder="1"/>
    <xf numFmtId="0" fontId="14" fillId="0" borderId="4" xfId="0" applyFont="1" applyBorder="1"/>
    <xf numFmtId="0" fontId="0" fillId="0" borderId="5" xfId="0" applyBorder="1"/>
    <xf numFmtId="0" fontId="13" fillId="0" borderId="6" xfId="0" applyFont="1" applyBorder="1"/>
    <xf numFmtId="164" fontId="13" fillId="0" borderId="4" xfId="0" applyNumberFormat="1" applyFont="1" applyBorder="1"/>
    <xf numFmtId="0" fontId="15" fillId="0" borderId="3" xfId="0" applyFont="1" applyBorder="1"/>
    <xf numFmtId="0" fontId="0" fillId="0" borderId="7" xfId="0" applyBorder="1"/>
    <xf numFmtId="0" fontId="15" fillId="0" borderId="0" xfId="0" applyFont="1"/>
    <xf numFmtId="0" fontId="15" fillId="0" borderId="3" xfId="0" applyFont="1" applyBorder="1" applyAlignment="1">
      <alignment vertical="top"/>
    </xf>
    <xf numFmtId="0" fontId="0" fillId="0" borderId="7" xfId="0" applyBorder="1" applyAlignment="1">
      <alignment vertical="top"/>
    </xf>
    <xf numFmtId="0" fontId="0" fillId="0" borderId="5" xfId="0" applyBorder="1" applyAlignment="1">
      <alignment vertical="top"/>
    </xf>
    <xf numFmtId="2" fontId="0" fillId="0" borderId="2" xfId="0" applyNumberFormat="1" applyBorder="1"/>
    <xf numFmtId="16" fontId="15" fillId="0" borderId="4" xfId="0" applyNumberFormat="1" applyFont="1" applyBorder="1"/>
    <xf numFmtId="0" fontId="15" fillId="0" borderId="4" xfId="0" applyFont="1" applyBorder="1"/>
    <xf numFmtId="0" fontId="15" fillId="0" borderId="6" xfId="0" applyFont="1" applyBorder="1"/>
    <xf numFmtId="164" fontId="0" fillId="0" borderId="2" xfId="0" applyNumberFormat="1" applyBorder="1"/>
    <xf numFmtId="0" fontId="15" fillId="0" borderId="8" xfId="0" applyFont="1" applyBorder="1"/>
    <xf numFmtId="0" fontId="16" fillId="0" borderId="4" xfId="0" applyFont="1" applyBorder="1" applyAlignment="1">
      <alignment vertical="center"/>
    </xf>
    <xf numFmtId="164" fontId="0" fillId="0" borderId="1" xfId="0" applyNumberFormat="1" applyBorder="1" applyAlignment="1">
      <alignment vertical="top"/>
    </xf>
    <xf numFmtId="164" fontId="0" fillId="0" borderId="2" xfId="0" applyNumberFormat="1" applyBorder="1" applyAlignment="1">
      <alignment vertical="top"/>
    </xf>
    <xf numFmtId="0" fontId="1" fillId="0" borderId="0" xfId="0" applyFont="1" applyAlignment="1">
      <alignment vertical="top"/>
    </xf>
    <xf numFmtId="2" fontId="1" fillId="2" borderId="1" xfId="0" applyNumberFormat="1" applyFont="1" applyFill="1" applyBorder="1" applyAlignment="1">
      <alignment vertical="top"/>
    </xf>
    <xf numFmtId="2" fontId="1" fillId="2" borderId="2" xfId="0" applyNumberFormat="1" applyFont="1" applyFill="1" applyBorder="1" applyAlignment="1">
      <alignment vertical="top"/>
    </xf>
    <xf numFmtId="164" fontId="1" fillId="2" borderId="1" xfId="0" applyNumberFormat="1" applyFont="1" applyFill="1" applyBorder="1" applyAlignment="1">
      <alignment vertical="top"/>
    </xf>
    <xf numFmtId="164" fontId="1" fillId="2" borderId="2" xfId="0" applyNumberFormat="1" applyFont="1" applyFill="1" applyBorder="1" applyAlignment="1">
      <alignment vertical="top"/>
    </xf>
    <xf numFmtId="0" fontId="1" fillId="2" borderId="1" xfId="0" applyFont="1" applyFill="1" applyBorder="1" applyAlignment="1">
      <alignment vertical="top"/>
    </xf>
    <xf numFmtId="164" fontId="0" fillId="0" borderId="1" xfId="0" applyNumberFormat="1" applyBorder="1"/>
    <xf numFmtId="164" fontId="0" fillId="0" borderId="9" xfId="0" applyNumberFormat="1" applyBorder="1"/>
    <xf numFmtId="0" fontId="0" fillId="0" borderId="9" xfId="0" applyBorder="1"/>
    <xf numFmtId="0" fontId="15" fillId="0" borderId="1" xfId="0" applyFont="1" applyBorder="1"/>
    <xf numFmtId="16" fontId="0" fillId="0" borderId="1" xfId="0" applyNumberFormat="1" applyBorder="1"/>
    <xf numFmtId="0" fontId="17" fillId="0" borderId="0" xfId="0" applyFont="1"/>
    <xf numFmtId="16" fontId="15" fillId="0" borderId="1" xfId="0" applyNumberFormat="1" applyFont="1" applyBorder="1"/>
    <xf numFmtId="0" fontId="13" fillId="0" borderId="1" xfId="0" applyFont="1" applyBorder="1"/>
    <xf numFmtId="0" fontId="14" fillId="0" borderId="1" xfId="0" applyFont="1" applyBorder="1"/>
    <xf numFmtId="0" fontId="0" fillId="0" borderId="10" xfId="0" applyBorder="1"/>
    <xf numFmtId="0" fontId="1" fillId="0" borderId="0" xfId="0" applyFont="1"/>
    <xf numFmtId="164" fontId="1" fillId="2" borderId="11" xfId="0" applyNumberFormat="1" applyFont="1" applyFill="1" applyBorder="1"/>
    <xf numFmtId="0" fontId="1" fillId="2" borderId="11" xfId="0" applyFont="1" applyFill="1" applyBorder="1"/>
    <xf numFmtId="0" fontId="0" fillId="0" borderId="0" xfId="0" applyAlignment="1">
      <alignment vertical="top" wrapText="1"/>
    </xf>
    <xf numFmtId="164" fontId="0" fillId="0" borderId="0" xfId="0" applyNumberFormat="1" applyAlignment="1">
      <alignment horizontal="left" vertical="top"/>
    </xf>
    <xf numFmtId="0" fontId="0" fillId="0" borderId="10" xfId="0" applyBorder="1" applyAlignment="1">
      <alignment horizontal="center" vertical="top"/>
    </xf>
    <xf numFmtId="0" fontId="0" fillId="0" borderId="12" xfId="0" applyBorder="1" applyAlignment="1">
      <alignment horizontal="center" vertical="top"/>
    </xf>
    <xf numFmtId="0" fontId="0" fillId="0" borderId="2" xfId="0" applyBorder="1" applyAlignment="1">
      <alignment horizontal="center" vertical="top"/>
    </xf>
    <xf numFmtId="0" fontId="8" fillId="0" borderId="0" xfId="0" applyFont="1" applyAlignment="1">
      <alignment vertical="top"/>
    </xf>
    <xf numFmtId="0" fontId="0" fillId="0" borderId="1" xfId="0" applyBorder="1" applyAlignment="1">
      <alignment vertical="top" wrapText="1"/>
    </xf>
    <xf numFmtId="16" fontId="18" fillId="0" borderId="1" xfId="0" applyNumberFormat="1" applyFont="1" applyBorder="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16" fontId="18" fillId="0" borderId="11" xfId="0" applyNumberFormat="1" applyFont="1" applyBorder="1" applyAlignment="1">
      <alignment vertical="top"/>
    </xf>
    <xf numFmtId="0" fontId="18" fillId="0" borderId="9" xfId="0" applyFont="1" applyBorder="1" applyAlignment="1">
      <alignment horizontal="left" vertical="top" wrapText="1"/>
    </xf>
    <xf numFmtId="0" fontId="18" fillId="0" borderId="11" xfId="0" applyFont="1" applyBorder="1" applyAlignment="1">
      <alignment vertical="top" wrapText="1"/>
    </xf>
    <xf numFmtId="0" fontId="18" fillId="0" borderId="5" xfId="0" applyFont="1" applyBorder="1" applyAlignment="1">
      <alignment horizontal="left" vertical="top" wrapText="1"/>
    </xf>
    <xf numFmtId="0" fontId="18" fillId="0" borderId="11" xfId="0" applyFont="1" applyBorder="1" applyAlignment="1">
      <alignment horizontal="left" vertical="top" wrapText="1"/>
    </xf>
    <xf numFmtId="0" fontId="13" fillId="3" borderId="4" xfId="0" applyFont="1" applyFill="1" applyBorder="1"/>
    <xf numFmtId="22" fontId="13" fillId="0" borderId="4" xfId="0" applyNumberFormat="1" applyFont="1" applyBorder="1"/>
    <xf numFmtId="0" fontId="14" fillId="0" borderId="1" xfId="0" applyFont="1" applyBorder="1" applyAlignment="1">
      <alignment vertical="top" wrapText="1"/>
    </xf>
    <xf numFmtId="0" fontId="0" fillId="0" borderId="9" xfId="0" applyBorder="1" applyAlignment="1">
      <alignment vertical="top"/>
    </xf>
    <xf numFmtId="0" fontId="0" fillId="0" borderId="9" xfId="0" applyBorder="1" applyAlignment="1">
      <alignment vertical="top" wrapText="1"/>
    </xf>
    <xf numFmtId="0" fontId="14" fillId="0" borderId="9" xfId="0" applyFont="1" applyBorder="1" applyAlignment="1">
      <alignment vertical="top" wrapText="1"/>
    </xf>
    <xf numFmtId="0" fontId="9" fillId="0" borderId="1" xfId="0" applyFont="1" applyBorder="1" applyAlignment="1">
      <alignment wrapText="1"/>
    </xf>
    <xf numFmtId="164" fontId="14" fillId="0" borderId="1" xfId="0" applyNumberFormat="1" applyFont="1" applyBorder="1" applyAlignment="1">
      <alignment horizontal="left" vertical="top" wrapText="1"/>
    </xf>
    <xf numFmtId="0" fontId="9" fillId="0" borderId="1" xfId="0" applyFont="1" applyBorder="1"/>
    <xf numFmtId="0" fontId="19" fillId="0" borderId="1" xfId="0" applyFont="1" applyBorder="1" applyAlignment="1">
      <alignment vertical="top" wrapText="1"/>
    </xf>
    <xf numFmtId="164" fontId="0" fillId="0" borderId="1" xfId="0" applyNumberFormat="1" applyBorder="1" applyAlignment="1">
      <alignment horizontal="left" vertical="top"/>
    </xf>
    <xf numFmtId="0" fontId="0" fillId="0" borderId="11" xfId="0" applyBorder="1" applyAlignment="1">
      <alignment vertical="top"/>
    </xf>
    <xf numFmtId="0" fontId="14" fillId="0" borderId="11" xfId="0" applyFont="1" applyBorder="1" applyAlignment="1">
      <alignment vertical="top" wrapText="1"/>
    </xf>
    <xf numFmtId="0" fontId="17" fillId="0" borderId="0" xfId="0" applyFont="1" applyAlignment="1">
      <alignment wrapText="1"/>
    </xf>
    <xf numFmtId="0" fontId="0" fillId="0" borderId="1" xfId="0" applyBorder="1" applyAlignment="1">
      <alignment wrapText="1"/>
    </xf>
    <xf numFmtId="0" fontId="17" fillId="0" borderId="1" xfId="0" applyFont="1" applyBorder="1"/>
    <xf numFmtId="164" fontId="0" fillId="0" borderId="1" xfId="0" applyNumberFormat="1" applyBorder="1" applyAlignment="1">
      <alignment horizontal="left" vertical="top" wrapText="1"/>
    </xf>
    <xf numFmtId="0" fontId="17" fillId="0" borderId="1" xfId="0" applyFont="1" applyBorder="1" applyAlignment="1">
      <alignment wrapText="1"/>
    </xf>
    <xf numFmtId="0" fontId="0" fillId="0" borderId="9" xfId="0" applyBorder="1" applyAlignment="1">
      <alignment wrapText="1"/>
    </xf>
    <xf numFmtId="164" fontId="0" fillId="0" borderId="11" xfId="0" applyNumberFormat="1" applyBorder="1" applyAlignment="1">
      <alignment vertical="top"/>
    </xf>
    <xf numFmtId="164" fontId="14" fillId="0" borderId="11" xfId="0" applyNumberFormat="1" applyFont="1" applyBorder="1" applyAlignment="1">
      <alignment horizontal="left" vertical="top" wrapText="1"/>
    </xf>
    <xf numFmtId="0" fontId="0" fillId="0" borderId="11" xfId="0" applyBorder="1" applyAlignment="1">
      <alignment vertical="top" wrapText="1"/>
    </xf>
    <xf numFmtId="164" fontId="0" fillId="0" borderId="9" xfId="0" applyNumberFormat="1" applyBorder="1" applyAlignment="1">
      <alignment vertical="top"/>
    </xf>
    <xf numFmtId="164" fontId="14" fillId="0" borderId="9" xfId="0" applyNumberFormat="1" applyFont="1" applyBorder="1" applyAlignment="1">
      <alignment horizontal="left" vertical="top" wrapText="1"/>
    </xf>
    <xf numFmtId="0" fontId="19" fillId="0" borderId="9" xfId="0" applyFont="1" applyBorder="1" applyAlignment="1">
      <alignment vertical="top" wrapText="1"/>
    </xf>
    <xf numFmtId="164" fontId="14" fillId="0" borderId="1" xfId="0" applyNumberFormat="1" applyFont="1" applyBorder="1" applyAlignment="1">
      <alignment horizontal="left" vertical="top"/>
    </xf>
    <xf numFmtId="0" fontId="20" fillId="0" borderId="1" xfId="0" applyFont="1" applyBorder="1" applyAlignment="1">
      <alignment vertical="top" wrapText="1"/>
    </xf>
    <xf numFmtId="164" fontId="0" fillId="0" borderId="11" xfId="0" applyNumberFormat="1" applyBorder="1" applyAlignment="1">
      <alignment horizontal="left" vertical="top" wrapText="1"/>
    </xf>
    <xf numFmtId="0" fontId="1" fillId="2" borderId="10" xfId="0" applyFont="1" applyFill="1" applyBorder="1" applyAlignment="1">
      <alignment vertical="top" wrapText="1"/>
    </xf>
    <xf numFmtId="164" fontId="1" fillId="2" borderId="1" xfId="0" applyNumberFormat="1" applyFont="1" applyFill="1" applyBorder="1" applyAlignment="1">
      <alignment horizontal="lef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aljeet/Downloads/ABP_FY'26%20Issues%20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Jan 25"/>
      <sheetName val="Feb 25"/>
      <sheetName val="Mar 25"/>
      <sheetName val="Sheet2 (3)"/>
      <sheetName val="Sheet2 (2)"/>
      <sheetName val="Summary new"/>
      <sheetName val="Summary"/>
      <sheetName val="Pivot"/>
      <sheetName val="Sheet4"/>
      <sheetName val="All"/>
      <sheetName val="Sheet2"/>
      <sheetName val="Apr 25"/>
      <sheetName val="May 25"/>
      <sheetName val="Jun 25"/>
      <sheetName val="ABP Enhancement"/>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A7DE-9F13-4172-9583-7B15DBC287F3}">
  <dimension ref="A1:F142"/>
  <sheetViews>
    <sheetView tabSelected="1" zoomScale="90" zoomScaleNormal="90" workbookViewId="0">
      <selection activeCell="C107" sqref="C107"/>
    </sheetView>
  </sheetViews>
  <sheetFormatPr defaultColWidth="8.7265625" defaultRowHeight="12.5"/>
  <cols>
    <col min="1" max="1" width="34.453125" style="1" customWidth="1"/>
    <col min="2" max="2" width="14" style="1" customWidth="1"/>
    <col min="3" max="3" width="76.453125" style="2" customWidth="1"/>
    <col min="4" max="4" width="64.54296875" style="2" customWidth="1"/>
    <col min="5" max="5" width="106.54296875" style="2" customWidth="1"/>
    <col min="6" max="6" width="79" style="1" bestFit="1" customWidth="1"/>
    <col min="7" max="16384" width="8.7265625" style="1"/>
  </cols>
  <sheetData>
    <row r="1" spans="1:6" ht="13">
      <c r="A1" s="10" t="s">
        <v>255</v>
      </c>
      <c r="B1" s="10" t="s">
        <v>254</v>
      </c>
      <c r="C1" s="9" t="s">
        <v>253</v>
      </c>
      <c r="D1" s="9" t="s">
        <v>252</v>
      </c>
      <c r="E1" s="2" t="s">
        <v>251</v>
      </c>
    </row>
    <row r="2" spans="1:6" ht="36.65" customHeight="1">
      <c r="A2" s="1" t="s">
        <v>166</v>
      </c>
      <c r="B2" s="2" t="s">
        <v>233</v>
      </c>
      <c r="C2" s="2" t="s">
        <v>250</v>
      </c>
      <c r="E2" s="2" t="str">
        <f>C2&amp;"-"&amp;D2</f>
        <v>Helping users to update data like production numbers, SPC, Stock for mat bal and inventory, depreciation allocation, IT chargeback allocation, abnormal cost, freight, Wages, KPI requirements, rates, transfer quantities and rates-</v>
      </c>
      <c r="F2" s="1" t="s">
        <v>249</v>
      </c>
    </row>
    <row r="3" spans="1:6" ht="15.65" customHeight="1">
      <c r="A3" s="1" t="s">
        <v>166</v>
      </c>
      <c r="B3" s="2" t="s">
        <v>233</v>
      </c>
      <c r="C3" s="2" t="s">
        <v>248</v>
      </c>
      <c r="E3" s="2" t="str">
        <f>C3&amp;"-"&amp;D3</f>
        <v>Helping in running inbound/outbound integration actions to push/pull the data in the system from/to other tracks-</v>
      </c>
      <c r="F3" s="1" t="s">
        <v>247</v>
      </c>
    </row>
    <row r="4" spans="1:6" ht="15.65" customHeight="1">
      <c r="A4" s="1" t="s">
        <v>166</v>
      </c>
      <c r="B4" s="2" t="s">
        <v>233</v>
      </c>
      <c r="C4" s="2" t="s">
        <v>246</v>
      </c>
      <c r="E4" s="2" t="str">
        <f>C4&amp;"-"&amp;D4</f>
        <v>Helping in updating driver set up for new additions of CC or CH or materials and add in cost sheets, inventory , Geo PL-</v>
      </c>
      <c r="F4" s="1" t="s">
        <v>245</v>
      </c>
    </row>
    <row r="5" spans="1:6">
      <c r="A5" s="1" t="s">
        <v>166</v>
      </c>
      <c r="B5" s="2" t="s">
        <v>233</v>
      </c>
      <c r="C5" s="2" t="s">
        <v>244</v>
      </c>
      <c r="E5" s="2" t="str">
        <f>C5&amp;"-"&amp;D5</f>
        <v>Helping in version movement for all tracks-</v>
      </c>
      <c r="F5" s="1" t="s">
        <v>243</v>
      </c>
    </row>
    <row r="6" spans="1:6" ht="14.5" customHeight="1">
      <c r="A6" s="1" t="s">
        <v>166</v>
      </c>
      <c r="B6" s="2" t="s">
        <v>233</v>
      </c>
      <c r="C6" s="2" t="s">
        <v>242</v>
      </c>
      <c r="E6" s="2" t="str">
        <f>C6&amp;"-"&amp;D6</f>
        <v>Helping in reconciling integration data pushed by other tracks like depreciation, IT chargeback, GWTM-</v>
      </c>
      <c r="F6" s="1" t="s">
        <v>241</v>
      </c>
    </row>
    <row r="7" spans="1:6" ht="14.15" customHeight="1">
      <c r="A7" s="1" t="s">
        <v>166</v>
      </c>
      <c r="B7" s="2" t="s">
        <v>233</v>
      </c>
      <c r="C7" s="2" t="s">
        <v>240</v>
      </c>
      <c r="E7" s="2" t="str">
        <f>C7&amp;"-"&amp;D7</f>
        <v>Helping users to use features of drill down , pivot etc to take download of the file from system as per requirement-</v>
      </c>
      <c r="F7" s="1" t="s">
        <v>239</v>
      </c>
    </row>
    <row r="8" spans="1:6">
      <c r="A8" s="1" t="s">
        <v>166</v>
      </c>
      <c r="B8" s="2" t="s">
        <v>233</v>
      </c>
      <c r="C8" s="2" t="s">
        <v>238</v>
      </c>
      <c r="E8" s="2" t="str">
        <f>C8&amp;"-"&amp;D8</f>
        <v>Helping users to upload GAGW plan data for all tracks-</v>
      </c>
      <c r="F8" s="1" t="s">
        <v>237</v>
      </c>
    </row>
    <row r="9" spans="1:6">
      <c r="A9" s="1" t="s">
        <v>166</v>
      </c>
      <c r="B9" s="2" t="s">
        <v>233</v>
      </c>
      <c r="C9" s="2" t="s">
        <v>236</v>
      </c>
      <c r="E9" s="2" t="str">
        <f>C9&amp;"-"&amp;D9</f>
        <v>Helping users to upload GAGW monthly allocation percentage for monthly plan data-</v>
      </c>
    </row>
    <row r="10" spans="1:6">
      <c r="A10" s="1" t="s">
        <v>166</v>
      </c>
      <c r="B10" s="2" t="s">
        <v>233</v>
      </c>
      <c r="C10" s="2" t="s">
        <v>235</v>
      </c>
      <c r="E10" s="2" t="str">
        <f>C10&amp;"-"&amp;D10</f>
        <v>Helping users to upload calendar, central assumptions-</v>
      </c>
    </row>
    <row r="11" spans="1:6">
      <c r="A11" s="1" t="s">
        <v>166</v>
      </c>
      <c r="B11" s="2" t="s">
        <v>233</v>
      </c>
      <c r="C11" s="2" t="s">
        <v>234</v>
      </c>
      <c r="E11" s="2" t="str">
        <f>C11&amp;"-"&amp;D11</f>
        <v>Helping users to upload bulk/strategic procurement rates-</v>
      </c>
    </row>
    <row r="12" spans="1:6">
      <c r="A12" s="1" t="s">
        <v>166</v>
      </c>
      <c r="B12" s="2" t="s">
        <v>233</v>
      </c>
      <c r="C12" s="2" t="s">
        <v>232</v>
      </c>
      <c r="E12" s="2" t="str">
        <f>C12&amp;"-"&amp;D12</f>
        <v>Helping users by showing them how to refer FY25 for their references-</v>
      </c>
    </row>
    <row r="13" spans="1:6" ht="14.5">
      <c r="A13" s="6" t="s">
        <v>163</v>
      </c>
      <c r="B13" s="1" t="s">
        <v>55</v>
      </c>
      <c r="C13" s="2" t="s">
        <v>231</v>
      </c>
      <c r="D13" s="2" t="s">
        <v>230</v>
      </c>
      <c r="E13" s="2" t="str">
        <f>C13&amp;"-"&amp;D13</f>
        <v>Own clean coal and output not visible -Wrong dashboard was being referred</v>
      </c>
    </row>
    <row r="14" spans="1:6" ht="14.5">
      <c r="A14" s="6" t="s">
        <v>163</v>
      </c>
      <c r="B14" s="1" t="s">
        <v>55</v>
      </c>
      <c r="C14" s="2" t="s">
        <v>229</v>
      </c>
      <c r="D14" s="2" t="s">
        <v>228</v>
      </c>
      <c r="E14" s="2" t="str">
        <f>C14&amp;"-"&amp;D14</f>
        <v>OMQ Cost sheets look distorted making it difficult to check nos -User referring wrong dashboard link</v>
      </c>
    </row>
    <row r="15" spans="1:6" ht="26">
      <c r="A15" s="6" t="s">
        <v>163</v>
      </c>
      <c r="B15" s="1" t="s">
        <v>55</v>
      </c>
      <c r="C15" s="2" t="s">
        <v>227</v>
      </c>
      <c r="D15" s="2" t="s">
        <v>226</v>
      </c>
      <c r="E15" s="2" t="str">
        <f>C15&amp;"-"&amp;D15</f>
        <v>For Vijaya II, Royalty per tonne ( Royalty, DMF, NMET) etc are not appearing even though we have entered Royalty rates in Assumption sheet.-User entered in wrong sheet</v>
      </c>
    </row>
    <row r="16" spans="1:6" ht="14.5">
      <c r="A16" s="6" t="s">
        <v>163</v>
      </c>
      <c r="B16" s="1" t="s">
        <v>55</v>
      </c>
      <c r="C16" s="2" t="s">
        <v>225</v>
      </c>
      <c r="D16" s="2" t="s">
        <v>224</v>
      </c>
      <c r="E16" s="2" t="str">
        <f>C16&amp;"-"&amp;D16</f>
        <v>HSD Rates was not flowing  -User has to push the consumption then rates flow from other cost</v>
      </c>
    </row>
    <row r="17" spans="1:5" ht="14.5">
      <c r="A17" s="6" t="s">
        <v>163</v>
      </c>
      <c r="B17" s="1" t="s">
        <v>55</v>
      </c>
      <c r="C17" s="2" t="s">
        <v>223</v>
      </c>
      <c r="D17" s="2" t="s">
        <v>222</v>
      </c>
      <c r="E17" s="2" t="str">
        <f>C17&amp;"-"&amp;D17</f>
        <v>Despatch nos are distorted( highly inflated)  in OMQ FG Mat Bal -User changed the number as seen in history</v>
      </c>
    </row>
    <row r="18" spans="1:5" ht="14.5">
      <c r="A18" s="6" t="s">
        <v>163</v>
      </c>
      <c r="B18" s="1" t="s">
        <v>55</v>
      </c>
      <c r="C18" s="2" t="s">
        <v>221</v>
      </c>
      <c r="D18" s="2" t="s">
        <v>220</v>
      </c>
      <c r="E18" s="2" t="str">
        <f>C18&amp;"-"&amp;D18</f>
        <v>Jharia BCCL Volumes is showing different nos in different places -Missing mapping by user</v>
      </c>
    </row>
    <row r="19" spans="1:5" ht="14.5">
      <c r="A19" s="6" t="s">
        <v>163</v>
      </c>
      <c r="B19" s="1" t="s">
        <v>55</v>
      </c>
      <c r="C19" s="2" t="s">
        <v>219</v>
      </c>
      <c r="D19" s="2" t="s">
        <v>218</v>
      </c>
      <c r="E19" s="2" t="str">
        <f>C19&amp;"-"&amp;D19</f>
        <v>Opening stock in QSE but are still unable to view the inventory for the same -User missed updating input</v>
      </c>
    </row>
    <row r="20" spans="1:5" ht="14.5">
      <c r="A20" s="6" t="s">
        <v>163</v>
      </c>
      <c r="B20" s="1" t="s">
        <v>55</v>
      </c>
      <c r="C20" s="2" t="s">
        <v>217</v>
      </c>
      <c r="E20" s="2" t="str">
        <f>C20&amp;"-"&amp;D20</f>
        <v>Incorrect NR in OMQ POP-</v>
      </c>
    </row>
    <row r="21" spans="1:5" ht="26">
      <c r="A21" s="6" t="s">
        <v>163</v>
      </c>
      <c r="B21" s="1" t="s">
        <v>55</v>
      </c>
      <c r="C21" s="2" t="s">
        <v>216</v>
      </c>
      <c r="E21" s="2" t="str">
        <f>C21&amp;"-"&amp;D21</f>
        <v>Add Kalamang CLO in Kalamang FG Costing sheet and also cost without royalty as both these elements are not being visible-</v>
      </c>
    </row>
    <row r="22" spans="1:5" ht="26">
      <c r="A22" s="6" t="s">
        <v>163</v>
      </c>
      <c r="B22" s="1" t="s">
        <v>55</v>
      </c>
      <c r="C22" s="2" t="s">
        <v>215</v>
      </c>
      <c r="E22" s="2" t="str">
        <f>C22&amp;"-"&amp;D22</f>
        <v>In OMQ Cost Planning, Kalamang Change in WIP is appearing incorrect as it is showing closing stock whereas in actual there is no closing stock as per system-</v>
      </c>
    </row>
    <row r="23" spans="1:5" ht="14.5">
      <c r="A23" s="6" t="s">
        <v>163</v>
      </c>
      <c r="B23" s="1" t="s">
        <v>55</v>
      </c>
      <c r="C23" s="2" t="s">
        <v>214</v>
      </c>
      <c r="E23" s="2" t="str">
        <f>C23&amp;"-"&amp;D23</f>
        <v>The changes in Noamundi IOPP ROM is not visible in Royalty Planning sheet-</v>
      </c>
    </row>
    <row r="24" spans="1:5" ht="14.5">
      <c r="A24" s="6" t="s">
        <v>163</v>
      </c>
      <c r="B24" s="1" t="s">
        <v>55</v>
      </c>
      <c r="C24" s="2" t="s">
        <v>213</v>
      </c>
      <c r="E24" s="2" t="str">
        <f>C24&amp;"-"&amp;D24</f>
        <v>Kalamang CLO Despatches is not appearing in Royalty Planning Sheet-</v>
      </c>
    </row>
    <row r="25" spans="1:5" ht="26">
      <c r="A25" s="6" t="s">
        <v>163</v>
      </c>
      <c r="B25" s="1" t="s">
        <v>199</v>
      </c>
      <c r="C25" s="2" t="s">
        <v>212</v>
      </c>
      <c r="D25" s="2" t="s">
        <v>211</v>
      </c>
      <c r="E25" s="2" t="str">
        <f>C25&amp;"-"&amp;D25</f>
        <v>HMC prod cannot be viewed in report 7.1. Request you to help.-Grid to see HMC Production was already published, user was looking in different grid</v>
      </c>
    </row>
    <row r="26" spans="1:5" ht="14.5">
      <c r="A26" s="6" t="s">
        <v>163</v>
      </c>
      <c r="B26" s="1" t="s">
        <v>199</v>
      </c>
      <c r="C26" s="8" t="s">
        <v>210</v>
      </c>
      <c r="E26" s="2" t="str">
        <f>C26&amp;"-"&amp;D26</f>
        <v>Moisture Content was not flowing to Coke Plants.-</v>
      </c>
    </row>
    <row r="27" spans="1:5" ht="14.5">
      <c r="A27" s="6" t="s">
        <v>163</v>
      </c>
      <c r="B27" s="1" t="s">
        <v>199</v>
      </c>
      <c r="C27" s="8" t="s">
        <v>209</v>
      </c>
      <c r="D27" s="2" t="s">
        <v>208</v>
      </c>
      <c r="E27" s="2" t="str">
        <f>C27&amp;"-"&amp;D27</f>
        <v>Imported coal cost is not flowing from Other Cost-Other cost to run outbound action to push the rates</v>
      </c>
    </row>
    <row r="28" spans="1:5" ht="14.5">
      <c r="A28" s="6" t="s">
        <v>163</v>
      </c>
      <c r="B28" s="1" t="s">
        <v>199</v>
      </c>
      <c r="C28" s="2" t="s">
        <v>207</v>
      </c>
      <c r="D28" s="2" t="s">
        <v>206</v>
      </c>
      <c r="E28" s="2" t="str">
        <f>C28&amp;"-"&amp;D28</f>
        <v>Coke Breeze cost is not reflected in pellet cost sheet-Gross Coke’s Mappings were missing to split Coke Breeze</v>
      </c>
    </row>
    <row r="29" spans="1:5" ht="14.5">
      <c r="A29" s="6" t="s">
        <v>163</v>
      </c>
      <c r="B29" s="1" t="s">
        <v>199</v>
      </c>
      <c r="C29" s="2" t="s">
        <v>205</v>
      </c>
      <c r="D29" s="2" t="s">
        <v>204</v>
      </c>
      <c r="E29" s="2" t="str">
        <f>C29&amp;"-"&amp;D29</f>
        <v>Wages is not shown in HMC cost sheet- Inbound Action was not run to pull the wages data</v>
      </c>
    </row>
    <row r="30" spans="1:5" ht="14.5">
      <c r="A30" s="6" t="s">
        <v>163</v>
      </c>
      <c r="B30" s="1" t="s">
        <v>199</v>
      </c>
      <c r="C30" s="2" t="s">
        <v>203</v>
      </c>
      <c r="D30" s="2" t="s">
        <v>202</v>
      </c>
      <c r="E30" s="2" t="str">
        <f>C30&amp;"-"&amp;D30</f>
        <v>IT chargeback is not flowing in cost sheet-Allocation% not updated and new GLs were required to be pulled</v>
      </c>
    </row>
    <row r="31" spans="1:5" ht="26">
      <c r="A31" s="6" t="s">
        <v>163</v>
      </c>
      <c r="B31" s="1" t="s">
        <v>199</v>
      </c>
      <c r="C31" s="2" t="s">
        <v>201</v>
      </c>
      <c r="D31" s="2" t="s">
        <v>200</v>
      </c>
      <c r="E31" s="2" t="str">
        <f>C31&amp;"-"&amp;D31</f>
        <v>EPA Pellet not flowing to cost sheet-Since rate is coming through central assumption so we had to select cost head's drivers accordingly</v>
      </c>
    </row>
    <row r="32" spans="1:5" ht="26">
      <c r="A32" s="6" t="s">
        <v>163</v>
      </c>
      <c r="B32" s="1" t="s">
        <v>199</v>
      </c>
      <c r="C32" s="2" t="s">
        <v>198</v>
      </c>
      <c r="D32" s="2" t="s">
        <v>197</v>
      </c>
      <c r="E32" s="2" t="str">
        <f>C32&amp;"-"&amp;D32</f>
        <v>Extruded Briquette’s Consumption Cost(Rs/T) was not flowing to BF’s Cost Sheet-Aggregation Mapping was missing and refresh rate’s action was not ran</v>
      </c>
    </row>
    <row r="33" spans="1:5" ht="26">
      <c r="A33" s="6" t="s">
        <v>163</v>
      </c>
      <c r="B33" s="1" t="s">
        <v>50</v>
      </c>
      <c r="C33" s="4" t="s">
        <v>196</v>
      </c>
      <c r="D33" s="2" t="s">
        <v>195</v>
      </c>
      <c r="E33" s="2" t="str">
        <f>C33&amp;"-"&amp;D33</f>
        <v>RMHS cost not flowing correctly-Incorrect allocation % updated in Anaplan - different % used in manual planning</v>
      </c>
    </row>
    <row r="34" spans="1:5" ht="14.5">
      <c r="A34" s="6" t="s">
        <v>163</v>
      </c>
      <c r="B34" s="1" t="s">
        <v>188</v>
      </c>
      <c r="C34" s="2" t="s">
        <v>194</v>
      </c>
      <c r="D34" s="2" t="s">
        <v>193</v>
      </c>
      <c r="E34" s="2" t="str">
        <f>C34&amp;"-"&amp;D34</f>
        <v>Coal &amp; IO ka despatch qty is not flowing to IM from RM-RM didnt pushed the qty to integration</v>
      </c>
    </row>
    <row r="35" spans="1:5" ht="14.5">
      <c r="A35" s="6" t="s">
        <v>163</v>
      </c>
      <c r="B35" s="1" t="s">
        <v>188</v>
      </c>
      <c r="C35" s="2" t="s">
        <v>192</v>
      </c>
      <c r="D35" s="2" t="s">
        <v>191</v>
      </c>
      <c r="E35" s="2" t="str">
        <f>C35&amp;"-"&amp;D35</f>
        <v>Compensation Cess - Wet Coal (Rs/T) is not flowing to Cost Sheet-User to update the data in cell published</v>
      </c>
    </row>
    <row r="36" spans="1:5" ht="14.5">
      <c r="A36" s="6" t="s">
        <v>163</v>
      </c>
      <c r="B36" s="1" t="s">
        <v>188</v>
      </c>
      <c r="C36" s="2" t="s">
        <v>190</v>
      </c>
      <c r="D36" s="2" t="s">
        <v>189</v>
      </c>
      <c r="E36" s="2" t="str">
        <f>C36&amp;"-"&amp;D36</f>
        <v>BRPL &amp; Purchase pellet rate not showing Anaplan cost sheet-Driver set up not completed in Anaplan by user</v>
      </c>
    </row>
    <row r="37" spans="1:5" ht="26">
      <c r="A37" s="6" t="s">
        <v>163</v>
      </c>
      <c r="B37" s="1" t="s">
        <v>188</v>
      </c>
      <c r="C37" s="2" t="s">
        <v>187</v>
      </c>
      <c r="D37" s="2" t="s">
        <v>186</v>
      </c>
      <c r="E37" s="2" t="str">
        <f>C37&amp;"-"&amp;D37</f>
        <v>Rates are not coming in Kalamang IO in ABP FY 26-RM user had planned the data in different material and IM user had planned data in different material</v>
      </c>
    </row>
    <row r="38" spans="1:5" ht="14.5">
      <c r="A38" s="6" t="s">
        <v>163</v>
      </c>
      <c r="B38" s="1" t="s">
        <v>176</v>
      </c>
      <c r="C38" s="2" t="s">
        <v>185</v>
      </c>
      <c r="D38" s="2" t="s">
        <v>183</v>
      </c>
      <c r="E38" s="2" t="str">
        <f>C38&amp;"-"&amp;D38</f>
        <v>Depreciation issue - Anaplan ABP FY'26-Refresh rate's action wasnt run by user</v>
      </c>
    </row>
    <row r="39" spans="1:5" ht="14.5">
      <c r="A39" s="6" t="s">
        <v>163</v>
      </c>
      <c r="B39" s="1" t="s">
        <v>176</v>
      </c>
      <c r="C39" s="2" t="s">
        <v>184</v>
      </c>
      <c r="D39" s="2" t="s">
        <v>183</v>
      </c>
      <c r="E39" s="2" t="str">
        <f>C39&amp;"-"&amp;D39</f>
        <v>RMHS data is not reflecting -Refresh rate's action wasnt run by user</v>
      </c>
    </row>
    <row r="40" spans="1:5" ht="14.5">
      <c r="A40" s="6" t="s">
        <v>163</v>
      </c>
      <c r="B40" s="1" t="s">
        <v>176</v>
      </c>
      <c r="C40" s="2" t="s">
        <v>182</v>
      </c>
      <c r="D40" s="2" t="s">
        <v>181</v>
      </c>
      <c r="E40" s="2" t="str">
        <f>C40&amp;"-"&amp;D40</f>
        <v>Specific consumption and qty is not flowing to cost report-Page was not refreshed properly(user awareness).</v>
      </c>
    </row>
    <row r="41" spans="1:5" ht="26">
      <c r="A41" s="6" t="s">
        <v>163</v>
      </c>
      <c r="B41" s="1" t="s">
        <v>176</v>
      </c>
      <c r="C41" s="2" t="s">
        <v>180</v>
      </c>
      <c r="D41" s="2" t="s">
        <v>179</v>
      </c>
      <c r="E41" s="2" t="str">
        <f>C41&amp;"-"&amp;D41</f>
        <v>Shares service data is showing in Integrated version but not showing in working &amp; submission version-Version Setup was not setup properly(user awareness)</v>
      </c>
    </row>
    <row r="42" spans="1:5" ht="14.5">
      <c r="A42" s="6" t="s">
        <v>163</v>
      </c>
      <c r="B42" s="1" t="s">
        <v>176</v>
      </c>
      <c r="C42" s="2" t="s">
        <v>178</v>
      </c>
      <c r="D42" s="2" t="s">
        <v>177</v>
      </c>
      <c r="E42" s="2" t="str">
        <f>C42&amp;"-"&amp;D42</f>
        <v>Coal Quantity mismatch in Anaplan-RM user has planned and sent the data in wrong CC</v>
      </c>
    </row>
    <row r="43" spans="1:5" ht="14.5">
      <c r="A43" s="6" t="s">
        <v>163</v>
      </c>
      <c r="B43" s="1" t="s">
        <v>176</v>
      </c>
      <c r="C43" s="2" t="s">
        <v>175</v>
      </c>
      <c r="D43" s="2" t="s">
        <v>174</v>
      </c>
      <c r="E43" s="2" t="str">
        <f>C43&amp;"-"&amp;D43</f>
        <v>IO lumps Specific consumption MatBal issue-Plant to Plant transfer's data was not entered by user.</v>
      </c>
    </row>
    <row r="44" spans="1:5" ht="14.5">
      <c r="A44" s="6" t="s">
        <v>163</v>
      </c>
      <c r="B44" s="1" t="s">
        <v>173</v>
      </c>
      <c r="C44" s="2" t="s">
        <v>172</v>
      </c>
      <c r="D44" s="2" t="s">
        <v>171</v>
      </c>
      <c r="E44" s="2" t="str">
        <f>C44&amp;"-"&amp;D44</f>
        <v>Data not flowing correctly from IBMD to IM -Data updated in incorrect cost centre by IBMD- later corrected</v>
      </c>
    </row>
    <row r="45" spans="1:5" ht="26">
      <c r="A45" s="6" t="s">
        <v>163</v>
      </c>
      <c r="B45" s="1" t="s">
        <v>65</v>
      </c>
      <c r="C45" s="2" t="s">
        <v>170</v>
      </c>
      <c r="D45" s="2" t="s">
        <v>169</v>
      </c>
      <c r="E45" s="2" t="str">
        <f>C45&amp;"-"&amp;D45</f>
        <v>Data mismatch in working and submission and integrated version-Inbound action not run for working and submission for inputs from integration</v>
      </c>
    </row>
    <row r="46" spans="1:5" ht="14.5">
      <c r="A46" s="6" t="s">
        <v>163</v>
      </c>
      <c r="B46" s="1" t="s">
        <v>34</v>
      </c>
      <c r="C46" s="2" t="s">
        <v>168</v>
      </c>
      <c r="D46" s="2" t="s">
        <v>164</v>
      </c>
      <c r="E46" s="2" t="str">
        <f>C46&amp;"-"&amp;D46</f>
        <v>Helping user in updating R&amp;M cost-User wasn’t able to complete</v>
      </c>
    </row>
    <row r="47" spans="1:5" ht="14.5">
      <c r="A47" s="6" t="s">
        <v>166</v>
      </c>
      <c r="B47" s="1" t="s">
        <v>167</v>
      </c>
      <c r="C47" s="2" t="s">
        <v>165</v>
      </c>
      <c r="D47" s="2" t="s">
        <v>164</v>
      </c>
      <c r="E47" s="2" t="str">
        <f>C47&amp;"-"&amp;D47</f>
        <v>Workshops conducted with users to complete ABP inputs and close Geo PL-User wasn’t able to complete</v>
      </c>
    </row>
    <row r="48" spans="1:5" ht="14.5">
      <c r="A48" s="6" t="s">
        <v>166</v>
      </c>
      <c r="B48" s="1" t="s">
        <v>84</v>
      </c>
      <c r="C48" s="2" t="s">
        <v>165</v>
      </c>
      <c r="D48" s="2" t="s">
        <v>164</v>
      </c>
      <c r="E48" s="2" t="str">
        <f>C48&amp;"-"&amp;D48</f>
        <v>Workshops conducted with users to complete ABP inputs and close Geo PL-User wasn’t able to complete</v>
      </c>
    </row>
    <row r="49" spans="1:5" ht="14.5">
      <c r="A49" s="6" t="s">
        <v>166</v>
      </c>
      <c r="B49" s="1" t="s">
        <v>88</v>
      </c>
      <c r="C49" s="2" t="s">
        <v>165</v>
      </c>
      <c r="D49" s="2" t="s">
        <v>164</v>
      </c>
      <c r="E49" s="2" t="str">
        <f>C49&amp;"-"&amp;D49</f>
        <v>Workshops conducted with users to complete ABP inputs and close Geo PL-User wasn’t able to complete</v>
      </c>
    </row>
    <row r="50" spans="1:5" ht="14.5">
      <c r="A50" s="6" t="s">
        <v>163</v>
      </c>
      <c r="B50" s="1" t="s">
        <v>7</v>
      </c>
      <c r="C50" s="2" t="s">
        <v>162</v>
      </c>
      <c r="D50" s="2" t="s">
        <v>29</v>
      </c>
      <c r="E50" s="2" t="str">
        <f>C50&amp;"-"&amp;D50</f>
        <v>New scheme addition in depreciation-Correction done - format for updating new schemes was different</v>
      </c>
    </row>
    <row r="51" spans="1:5" ht="14.5">
      <c r="A51" s="6" t="s">
        <v>11</v>
      </c>
      <c r="B51" s="1" t="s">
        <v>7</v>
      </c>
      <c r="C51" s="2" t="s">
        <v>162</v>
      </c>
      <c r="D51" s="2" t="s">
        <v>29</v>
      </c>
      <c r="E51" s="2" t="str">
        <f>C51&amp;"-"&amp;D51</f>
        <v>New scheme addition in depreciation-Correction done - format for updating new schemes was different</v>
      </c>
    </row>
    <row r="52" spans="1:5" ht="26">
      <c r="A52" s="6" t="s">
        <v>11</v>
      </c>
      <c r="B52" s="1" t="s">
        <v>161</v>
      </c>
      <c r="C52" s="2" t="s">
        <v>160</v>
      </c>
      <c r="D52" s="2" t="s">
        <v>159</v>
      </c>
      <c r="E52" s="2" t="str">
        <f>C52&amp;"-"&amp;D52</f>
        <v>Bulk Rate are not flowing for materials - Limestone  CP, Pyroxinite, ESP Dust etc...-Users to update requirements and push to OC post which they can push the rates</v>
      </c>
    </row>
    <row r="53" spans="1:5" ht="14.5">
      <c r="A53" s="6" t="s">
        <v>11</v>
      </c>
      <c r="B53" s="1" t="s">
        <v>65</v>
      </c>
      <c r="C53" s="2" t="s">
        <v>158</v>
      </c>
      <c r="D53" s="2" t="s">
        <v>154</v>
      </c>
      <c r="E53" s="2" t="str">
        <f>C53&amp;"-"&amp;D53</f>
        <v>Scrap materials and scrap rate not visible in anaplan-Materials were not marked in SM subset</v>
      </c>
    </row>
    <row r="54" spans="1:5" ht="26">
      <c r="A54" s="6" t="s">
        <v>11</v>
      </c>
      <c r="B54" s="1" t="s">
        <v>65</v>
      </c>
      <c r="C54" s="4" t="s">
        <v>157</v>
      </c>
      <c r="D54" s="2" t="s">
        <v>156</v>
      </c>
      <c r="E54" s="2" t="str">
        <f>C54&amp;"-"&amp;D54</f>
        <v>Rate of few ferro alloys missing in anaplan-New items which needs to be updated in SM module which were not consumed last year</v>
      </c>
    </row>
    <row r="55" spans="1:5" ht="14.5">
      <c r="A55" s="6" t="s">
        <v>11</v>
      </c>
      <c r="B55" s="1" t="s">
        <v>41</v>
      </c>
      <c r="C55" s="2" t="s">
        <v>155</v>
      </c>
      <c r="D55" s="2" t="s">
        <v>154</v>
      </c>
      <c r="E55" s="2" t="str">
        <f>C55&amp;"-"&amp;D55</f>
        <v>Addition of Vijay2 LG fines in IM iron and coal distribution module-Materials were not marked in SM subset</v>
      </c>
    </row>
    <row r="56" spans="1:5" ht="26">
      <c r="A56" s="6" t="s">
        <v>11</v>
      </c>
      <c r="B56" s="1" t="s">
        <v>10</v>
      </c>
      <c r="C56" s="2" t="s">
        <v>153</v>
      </c>
      <c r="D56" s="2" t="s">
        <v>152</v>
      </c>
      <c r="E56" s="2" t="str">
        <f>C56&amp;"-"&amp;D56</f>
        <v>DET Sales for LP area is reflecting ~144kt in Inbound  Data In integration model (9B), however, in TMT Mat balance sales is showing as ~129kt -Mapping of one product Smart fab missing as not flowing in subset</v>
      </c>
    </row>
    <row r="57" spans="1:5" ht="14.5">
      <c r="A57" s="6" t="s">
        <v>11</v>
      </c>
      <c r="B57" s="1" t="s">
        <v>62</v>
      </c>
      <c r="C57" s="2" t="s">
        <v>148</v>
      </c>
      <c r="D57" s="2" t="s">
        <v>151</v>
      </c>
      <c r="E57" s="2" t="str">
        <f>C57&amp;"-"&amp;D57</f>
        <v>GAGW nos not flowing correctly-Missing cost centres/ GLs added</v>
      </c>
    </row>
    <row r="58" spans="1:5" ht="26">
      <c r="A58" s="6" t="s">
        <v>11</v>
      </c>
      <c r="B58" s="1" t="s">
        <v>62</v>
      </c>
      <c r="C58" s="2" t="s">
        <v>148</v>
      </c>
      <c r="D58" s="2" t="s">
        <v>150</v>
      </c>
      <c r="E58" s="2" t="str">
        <f>C58&amp;"-"&amp;D58</f>
        <v>GAGW nos not flowing correctly-Existing hierarchies changed - impact of the same was not flowing as both old and new were appearing</v>
      </c>
    </row>
    <row r="59" spans="1:5" ht="14.5">
      <c r="A59" s="6" t="s">
        <v>11</v>
      </c>
      <c r="B59" s="1" t="s">
        <v>149</v>
      </c>
      <c r="C59" s="2" t="s">
        <v>148</v>
      </c>
      <c r="D59" s="2" t="s">
        <v>147</v>
      </c>
      <c r="E59" s="2" t="str">
        <f>C59&amp;"-"&amp;D59</f>
        <v>GAGW nos not flowing correctly-New GLs not marked in subset for flowing data</v>
      </c>
    </row>
    <row r="60" spans="1:5" ht="14.5">
      <c r="A60" s="6" t="s">
        <v>11</v>
      </c>
      <c r="B60" s="1" t="s">
        <v>41</v>
      </c>
      <c r="C60" s="2" t="s">
        <v>146</v>
      </c>
      <c r="D60" s="2" t="s">
        <v>32</v>
      </c>
      <c r="E60" s="2" t="str">
        <f>C60&amp;"-"&amp;D60</f>
        <v xml:space="preserve">Lump &amp; dolo lime rates are not flowing to SM Cost sheet-Correction done </v>
      </c>
    </row>
    <row r="61" spans="1:5" ht="14.5">
      <c r="A61" s="6" t="s">
        <v>11</v>
      </c>
      <c r="B61" s="1" t="s">
        <v>26</v>
      </c>
      <c r="C61" s="2" t="s">
        <v>145</v>
      </c>
      <c r="D61" s="2" t="s">
        <v>144</v>
      </c>
      <c r="E61" s="2" t="str">
        <f>C61&amp;"-"&amp;D61</f>
        <v>Mismatch in Tubes numbers pushed to Financial planning model-Depreciation subset not marked</v>
      </c>
    </row>
    <row r="62" spans="1:5" ht="14.5">
      <c r="A62" s="6" t="s">
        <v>11</v>
      </c>
      <c r="B62" s="1" t="s">
        <v>55</v>
      </c>
      <c r="C62" s="2" t="s">
        <v>143</v>
      </c>
      <c r="D62" s="2" t="s">
        <v>130</v>
      </c>
      <c r="E62" s="2" t="str">
        <f>C62&amp;"-"&amp;D62</f>
        <v>Omq Vol Planning, yeild % and excavation-Mapping not done correctly</v>
      </c>
    </row>
    <row r="63" spans="1:5" ht="14.5">
      <c r="A63" s="6" t="s">
        <v>11</v>
      </c>
      <c r="B63" s="1" t="s">
        <v>55</v>
      </c>
      <c r="C63" s="2" t="s">
        <v>142</v>
      </c>
      <c r="D63" s="2" t="s">
        <v>141</v>
      </c>
      <c r="E63" s="2" t="str">
        <f>C63&amp;"-"&amp;D63</f>
        <v>Additional Amt issue in Joda and Vijiya II-Clo was not mapped last year</v>
      </c>
    </row>
    <row r="64" spans="1:5" ht="14.5">
      <c r="A64" s="6" t="s">
        <v>11</v>
      </c>
      <c r="B64" s="1" t="s">
        <v>50</v>
      </c>
      <c r="C64" s="2" t="s">
        <v>140</v>
      </c>
      <c r="D64" s="2" t="s">
        <v>130</v>
      </c>
      <c r="E64" s="2" t="str">
        <f>C64&amp;"-"&amp;D64</f>
        <v>Coal rate and fuel rate is showing wrong in report no. 7.3-Mapping not done correctly</v>
      </c>
    </row>
    <row r="65" spans="1:5" ht="14.5">
      <c r="A65" s="6" t="s">
        <v>11</v>
      </c>
      <c r="B65" s="1" t="s">
        <v>50</v>
      </c>
      <c r="C65" s="2" t="s">
        <v>139</v>
      </c>
      <c r="D65" s="2" t="s">
        <v>130</v>
      </c>
      <c r="E65" s="2" t="str">
        <f>C65&amp;"-"&amp;D65</f>
        <v>Depreciation mismatch in FP and BP-Mapping not done correctly</v>
      </c>
    </row>
    <row r="66" spans="1:5" ht="14.5">
      <c r="A66" s="6" t="s">
        <v>11</v>
      </c>
      <c r="B66" s="1" t="s">
        <v>50</v>
      </c>
      <c r="C66" s="2" t="s">
        <v>138</v>
      </c>
      <c r="D66" s="2" t="s">
        <v>130</v>
      </c>
      <c r="E66" s="2" t="str">
        <f>C66&amp;"-"&amp;D66</f>
        <v>BF coke mapping not done correctly leading to gap in Geo PL-Mapping not done correctly</v>
      </c>
    </row>
    <row r="67" spans="1:5" ht="14">
      <c r="A67" s="7" t="s">
        <v>11</v>
      </c>
      <c r="B67" s="1" t="s">
        <v>50</v>
      </c>
      <c r="C67" s="2" t="s">
        <v>137</v>
      </c>
      <c r="D67" s="2" t="s">
        <v>130</v>
      </c>
      <c r="E67" s="2" t="str">
        <f>C67&amp;"-"&amp;D67</f>
        <v>Residual TSG fines not flowing-Mapping not done correctly</v>
      </c>
    </row>
    <row r="68" spans="1:5" ht="14.5">
      <c r="A68" s="6" t="s">
        <v>132</v>
      </c>
      <c r="B68" s="1" t="s">
        <v>50</v>
      </c>
      <c r="C68" s="2" t="s">
        <v>136</v>
      </c>
      <c r="D68" s="2" t="s">
        <v>130</v>
      </c>
      <c r="E68" s="2" t="str">
        <f>C68&amp;"-"&amp;D68</f>
        <v>Requirement of powder bentonite, ASRF etc not mapped propoerly-Mapping not done correctly</v>
      </c>
    </row>
    <row r="69" spans="1:5" ht="14.5">
      <c r="A69" s="6" t="s">
        <v>132</v>
      </c>
      <c r="B69" s="1" t="s">
        <v>69</v>
      </c>
      <c r="C69" s="2" t="s">
        <v>135</v>
      </c>
      <c r="D69" s="2" t="s">
        <v>130</v>
      </c>
      <c r="E69" s="2" t="str">
        <f>C69&amp;"-"&amp;D69</f>
        <v>Mismatches in depreciation.-Mapping not done correctly</v>
      </c>
    </row>
    <row r="70" spans="1:5" ht="14.5">
      <c r="A70" s="6" t="s">
        <v>132</v>
      </c>
      <c r="B70" s="1" t="s">
        <v>69</v>
      </c>
      <c r="C70" s="2" t="s">
        <v>134</v>
      </c>
      <c r="D70" s="2" t="s">
        <v>130</v>
      </c>
      <c r="E70" s="2" t="str">
        <f>C70&amp;"-"&amp;D70</f>
        <v>Addtion of Coke breeze imported under  Pellet plant-Mapping not done correctly</v>
      </c>
    </row>
    <row r="71" spans="1:5" ht="14.5">
      <c r="A71" s="6" t="s">
        <v>132</v>
      </c>
      <c r="B71" s="1" t="s">
        <v>69</v>
      </c>
      <c r="C71" s="2" t="s">
        <v>133</v>
      </c>
      <c r="D71" s="2" t="s">
        <v>130</v>
      </c>
      <c r="E71" s="2" t="str">
        <f>C71&amp;"-"&amp;D71</f>
        <v xml:space="preserve"> Depreciation mismatch in FP and BP-Mapping not done correctly</v>
      </c>
    </row>
    <row r="72" spans="1:5" ht="14.5">
      <c r="A72" s="6" t="s">
        <v>132</v>
      </c>
      <c r="B72" s="1" t="s">
        <v>10</v>
      </c>
      <c r="C72" s="2" t="s">
        <v>131</v>
      </c>
      <c r="D72" s="2" t="s">
        <v>130</v>
      </c>
      <c r="E72" s="2" t="str">
        <f>C72&amp;"-"&amp;D72</f>
        <v>Carboloux new material mapping-Mapping not done correctly</v>
      </c>
    </row>
    <row r="73" spans="1:5" ht="14.5">
      <c r="A73" s="6" t="s">
        <v>108</v>
      </c>
      <c r="B73" s="1" t="s">
        <v>50</v>
      </c>
      <c r="C73" s="4" t="s">
        <v>129</v>
      </c>
      <c r="D73" s="2" t="s">
        <v>127</v>
      </c>
      <c r="E73" s="2" t="str">
        <f>C73&amp;"-"&amp;D73</f>
        <v>Abnormal cost and POP difference -DSS and BAG SM have considered different nos for planning</v>
      </c>
    </row>
    <row r="74" spans="1:5" ht="14.5">
      <c r="A74" s="6" t="s">
        <v>108</v>
      </c>
      <c r="B74" s="1" t="s">
        <v>50</v>
      </c>
      <c r="C74" s="4" t="s">
        <v>128</v>
      </c>
      <c r="D74" s="2" t="s">
        <v>127</v>
      </c>
      <c r="E74" s="2" t="str">
        <f>C74&amp;"-"&amp;D74</f>
        <v>Iron ore distribution data mismatch due to different excel versions-DSS and BAG SM have considered different nos for planning</v>
      </c>
    </row>
    <row r="75" spans="1:5" ht="14.5">
      <c r="A75" s="6" t="s">
        <v>108</v>
      </c>
      <c r="B75" s="1" t="s">
        <v>65</v>
      </c>
      <c r="C75" s="4" t="s">
        <v>126</v>
      </c>
      <c r="D75" s="2" t="s">
        <v>125</v>
      </c>
      <c r="E75" s="2" t="str">
        <f>C75&amp;"-"&amp;D75</f>
        <v>Difference in assumption updated for lime -Different data used in planning by CS&amp;P and BAG SM</v>
      </c>
    </row>
    <row r="76" spans="1:5" ht="26">
      <c r="A76" s="6" t="s">
        <v>108</v>
      </c>
      <c r="B76" s="1" t="s">
        <v>65</v>
      </c>
      <c r="C76" s="4" t="s">
        <v>124</v>
      </c>
      <c r="D76" s="2" t="s">
        <v>109</v>
      </c>
      <c r="E76" s="2" t="str">
        <f>C76&amp;"-"&amp;D76</f>
        <v>Rate of scrap is not reflecting correctly in Anaplan ; difference in freight also-IBMD and BAG SM have considered different nos for planning</v>
      </c>
    </row>
    <row r="77" spans="1:5" ht="14.5">
      <c r="A77" s="6" t="s">
        <v>108</v>
      </c>
      <c r="B77" s="1" t="s">
        <v>65</v>
      </c>
      <c r="C77" s="4" t="s">
        <v>123</v>
      </c>
      <c r="D77" s="2" t="s">
        <v>122</v>
      </c>
      <c r="E77" s="2" t="str">
        <f>C77&amp;"-"&amp;D77</f>
        <v>Transfer of FHCR from TSK and TSM is not aligned with TSJ is Anaplan-TSJ nad TSK have considered different nos for planning</v>
      </c>
    </row>
    <row r="78" spans="1:5" ht="38.5">
      <c r="A78" s="6" t="s">
        <v>108</v>
      </c>
      <c r="B78" s="1" t="s">
        <v>65</v>
      </c>
      <c r="C78" s="2" t="s">
        <v>121</v>
      </c>
      <c r="D78" s="2" t="s">
        <v>120</v>
      </c>
      <c r="E78" s="2" t="str">
        <f>C78&amp;"-"&amp;D78</f>
        <v>Difference in CMG wages, LD gas rate, BF gas rate, power , argon, mixed gas, MP nitrogen -Shared services had computed the manual data and shared based on std cost .However working the bottom -up , it was found that there were items not considered in the calculation earlier</v>
      </c>
    </row>
    <row r="79" spans="1:5" ht="28.5">
      <c r="A79" s="6" t="s">
        <v>108</v>
      </c>
      <c r="B79" s="1" t="s">
        <v>65</v>
      </c>
      <c r="C79" s="4" t="s">
        <v>119</v>
      </c>
      <c r="D79" s="2" t="s">
        <v>111</v>
      </c>
      <c r="E79" s="2" t="str">
        <f>C79&amp;"-"&amp;D79</f>
        <v>Rate of ferro alloys is not reflecting correctly in Anaplan (dolomite, desulphur, nitrovan, aluminium notch bar, maganesium metal flake etc.)-Bulk/Strategic procurement and BAG SM have considered different nos for planning</v>
      </c>
    </row>
    <row r="80" spans="1:5" ht="14.5">
      <c r="A80" s="6" t="s">
        <v>108</v>
      </c>
      <c r="B80" s="1" t="s">
        <v>65</v>
      </c>
      <c r="C80" s="4" t="s">
        <v>118</v>
      </c>
      <c r="D80" s="2" t="s">
        <v>117</v>
      </c>
      <c r="E80" s="2" t="str">
        <f>C80&amp;"-"&amp;D80</f>
        <v>SPC and freight cost difference -Different data used in planning by SC and BAG SM</v>
      </c>
    </row>
    <row r="81" spans="1:5" ht="28.5">
      <c r="A81" s="6" t="s">
        <v>108</v>
      </c>
      <c r="B81" s="1" t="s">
        <v>65</v>
      </c>
      <c r="C81" s="4" t="s">
        <v>116</v>
      </c>
      <c r="D81" s="2" t="s">
        <v>115</v>
      </c>
      <c r="E81" s="2" t="str">
        <f>C81&amp;"-"&amp;D81</f>
        <v>Difference in monthwise planning of TSJ common GA cost due to different logics considered by CMAG and BAG SM for allocation -Different logics due to which different nos</v>
      </c>
    </row>
    <row r="82" spans="1:5" ht="14.5">
      <c r="A82" s="6" t="s">
        <v>108</v>
      </c>
      <c r="B82" s="1" t="s">
        <v>65</v>
      </c>
      <c r="C82" s="2" t="s">
        <v>114</v>
      </c>
      <c r="D82" s="2" t="s">
        <v>113</v>
      </c>
      <c r="E82" s="2" t="str">
        <f>C82&amp;"-"&amp;D82</f>
        <v>Change in rate of TSK and freight in inventory-Different data used in planning by TSK and BAG SM</v>
      </c>
    </row>
    <row r="83" spans="1:5" ht="28.5">
      <c r="A83" s="6" t="s">
        <v>108</v>
      </c>
      <c r="B83" s="1" t="s">
        <v>10</v>
      </c>
      <c r="C83" s="4" t="s">
        <v>112</v>
      </c>
      <c r="D83" s="2" t="s">
        <v>111</v>
      </c>
      <c r="E83" s="2" t="str">
        <f>C83&amp;"-"&amp;D83</f>
        <v>Rate of ferro alloys is not reflecting correctly in Anaplan (dolomite, desulphur, artificial. graphite)-Bulk/Strategic procurement and BAG SM have considered different nos for planning</v>
      </c>
    </row>
    <row r="84" spans="1:5" ht="14.5">
      <c r="A84" s="6" t="s">
        <v>108</v>
      </c>
      <c r="B84" s="1" t="s">
        <v>10</v>
      </c>
      <c r="C84" s="4" t="s">
        <v>110</v>
      </c>
      <c r="D84" s="2" t="s">
        <v>109</v>
      </c>
      <c r="E84" s="2" t="str">
        <f>C84&amp;"-"&amp;D84</f>
        <v>Rate of scrap is not reflecting correctly in Anaplan -IBMD and BAG SM have considered different nos for planning</v>
      </c>
    </row>
    <row r="85" spans="1:5" ht="26">
      <c r="A85" s="6" t="s">
        <v>108</v>
      </c>
      <c r="B85" s="1" t="s">
        <v>107</v>
      </c>
      <c r="C85" s="2" t="s">
        <v>106</v>
      </c>
      <c r="D85" s="2" t="s">
        <v>105</v>
      </c>
      <c r="E85" s="2" t="str">
        <f>C85&amp;"-"&amp;D85</f>
        <v>Incorrect moisture content is flowing in system-CS&amp;P releases moisture content for all locations separately. User team considered different data</v>
      </c>
    </row>
    <row r="86" spans="1:5" ht="14.5">
      <c r="A86" s="6" t="s">
        <v>85</v>
      </c>
      <c r="B86" s="1" t="s">
        <v>55</v>
      </c>
      <c r="C86" s="2" t="s">
        <v>104</v>
      </c>
      <c r="D86" s="2" t="s">
        <v>103</v>
      </c>
      <c r="E86" s="2" t="str">
        <f>C86&amp;"-"&amp;D86</f>
        <v>Vijaya II Change in WIP is not appearing correctly on account of wrong production rate.-Logic changed during ABP</v>
      </c>
    </row>
    <row r="87" spans="1:5" ht="14.5">
      <c r="A87" s="6" t="s">
        <v>85</v>
      </c>
      <c r="B87" s="1" t="s">
        <v>69</v>
      </c>
      <c r="C87" s="2" t="s">
        <v>102</v>
      </c>
      <c r="D87" s="2" t="s">
        <v>101</v>
      </c>
      <c r="E87" s="2" t="str">
        <f>C87&amp;"-"&amp;D87</f>
        <v>Purchase Pellet's impact in Pellet Plant-There is a exclusion logic change to remove the impact</v>
      </c>
    </row>
    <row r="88" spans="1:5" ht="26">
      <c r="A88" s="6" t="s">
        <v>85</v>
      </c>
      <c r="B88" s="1" t="s">
        <v>65</v>
      </c>
      <c r="C88" s="2" t="s">
        <v>100</v>
      </c>
      <c r="D88" s="2" t="s">
        <v>97</v>
      </c>
      <c r="E88" s="2" t="str">
        <f>C88&amp;"-"&amp;D88</f>
        <v>Formula changed for saleable FHCR, FHCR inventory in CRM volume  planning,  HR input of CRM Bara, weighted average calculation of CRM bara inventory-Changes done during ABP planning</v>
      </c>
    </row>
    <row r="89" spans="1:5" ht="14.5">
      <c r="A89" s="6" t="s">
        <v>85</v>
      </c>
      <c r="B89" s="1" t="s">
        <v>99</v>
      </c>
      <c r="C89" s="2" t="s">
        <v>98</v>
      </c>
      <c r="D89" s="2" t="s">
        <v>97</v>
      </c>
      <c r="E89" s="2" t="str">
        <f>C89&amp;"-"&amp;D89</f>
        <v>Flaring of BF,CO &amp; LD in GCal  -Changes done during ABP planning</v>
      </c>
    </row>
    <row r="90" spans="1:5" ht="14.5">
      <c r="A90" s="6" t="s">
        <v>85</v>
      </c>
      <c r="B90" s="1" t="s">
        <v>62</v>
      </c>
      <c r="C90" s="2" t="s">
        <v>96</v>
      </c>
      <c r="D90" s="2" t="s">
        <v>95</v>
      </c>
      <c r="E90" s="2" t="str">
        <f>C90&amp;"-"&amp;D90</f>
        <v>Allocation of cost over MOR in different areas-New areas added and new reports required with different views</v>
      </c>
    </row>
    <row r="91" spans="1:5" ht="14.5">
      <c r="A91" s="6" t="s">
        <v>85</v>
      </c>
      <c r="B91" s="1" t="s">
        <v>10</v>
      </c>
      <c r="C91" s="2" t="s">
        <v>94</v>
      </c>
      <c r="D91" s="2" t="s">
        <v>93</v>
      </c>
      <c r="E91" s="2" t="str">
        <f>C91&amp;"-"&amp;D91</f>
        <v>Billet consumption cost not coming correct-Formula changed during ABP even after doing UAT</v>
      </c>
    </row>
    <row r="92" spans="1:5" ht="14.5">
      <c r="A92" s="6" t="s">
        <v>85</v>
      </c>
      <c r="B92" s="1" t="s">
        <v>39</v>
      </c>
      <c r="C92" s="2" t="s">
        <v>92</v>
      </c>
      <c r="D92" s="2" t="s">
        <v>91</v>
      </c>
      <c r="E92" s="2" t="str">
        <f>C92&amp;"-"&amp;D92</f>
        <v xml:space="preserve">Nitrogen Consumption in pellet plant-Formula changed during ABP </v>
      </c>
    </row>
    <row r="93" spans="1:5" ht="14.5">
      <c r="A93" s="6" t="s">
        <v>85</v>
      </c>
      <c r="B93" s="1" t="s">
        <v>39</v>
      </c>
      <c r="C93" s="2" t="s">
        <v>90</v>
      </c>
      <c r="D93" s="2" t="s">
        <v>89</v>
      </c>
      <c r="E93" s="2" t="str">
        <f>C93&amp;"-"&amp;D93</f>
        <v>Rate incorrectly flowing for Coke Breeze-Formula changed during ABP to include exception for sinter coke breeze</v>
      </c>
    </row>
    <row r="94" spans="1:5" ht="14.5">
      <c r="A94" s="6" t="s">
        <v>85</v>
      </c>
      <c r="B94" s="1" t="s">
        <v>88</v>
      </c>
      <c r="C94" s="2" t="s">
        <v>87</v>
      </c>
      <c r="D94" s="2" t="s">
        <v>86</v>
      </c>
      <c r="E94" s="2" t="str">
        <f>C94&amp;"-"&amp;D94</f>
        <v>Many new logics incorporated during ABP-Inclusion of Joda</v>
      </c>
    </row>
    <row r="95" spans="1:5" ht="14.5">
      <c r="A95" s="6" t="s">
        <v>85</v>
      </c>
      <c r="B95" s="1" t="s">
        <v>84</v>
      </c>
      <c r="C95" s="2" t="s">
        <v>83</v>
      </c>
      <c r="E95" s="2" t="str">
        <f>C95&amp;"-"&amp;D95</f>
        <v>Logic for transfers, coke breeze changed-</v>
      </c>
    </row>
    <row r="96" spans="1:5" ht="26">
      <c r="A96" s="6" t="s">
        <v>75</v>
      </c>
      <c r="B96" s="1" t="s">
        <v>65</v>
      </c>
      <c r="C96" s="2" t="s">
        <v>82</v>
      </c>
      <c r="D96" s="2" t="s">
        <v>81</v>
      </c>
      <c r="E96" s="2" t="str">
        <f>C96&amp;"-"&amp;D96</f>
        <v>Weighted average inventory rate for transferring to TSM  - Difference in rates-Production cost considered in planning while weighted average rate build in Anaplan</v>
      </c>
    </row>
    <row r="97" spans="1:5" ht="14.5">
      <c r="A97" s="6" t="s">
        <v>75</v>
      </c>
      <c r="B97" s="1" t="s">
        <v>41</v>
      </c>
      <c r="C97" s="2" t="s">
        <v>80</v>
      </c>
      <c r="D97" s="2" t="s">
        <v>79</v>
      </c>
      <c r="E97" s="2" t="str">
        <f>C97&amp;"-"&amp;D97</f>
        <v>GAGW data not matching in Anaplan w.r.t manual planning-Different logics for viewing the GAGW cost in Anaplan and excel</v>
      </c>
    </row>
    <row r="98" spans="1:5" ht="26">
      <c r="A98" s="6" t="s">
        <v>75</v>
      </c>
      <c r="B98" s="1" t="s">
        <v>10</v>
      </c>
      <c r="C98" s="2" t="s">
        <v>78</v>
      </c>
      <c r="D98" s="2" t="s">
        <v>77</v>
      </c>
      <c r="E98" s="2" t="str">
        <f>C98&amp;"-"&amp;D98</f>
        <v>Difference in GAGW cost-Due to LP mapping of CC in anaplan, cost for 21120 was mismatching. Later aligned</v>
      </c>
    </row>
    <row r="99" spans="1:5" ht="14.5">
      <c r="A99" s="6" t="s">
        <v>75</v>
      </c>
      <c r="B99" s="1" t="s">
        <v>10</v>
      </c>
      <c r="C99" s="2" t="s">
        <v>76</v>
      </c>
      <c r="D99" s="2" t="s">
        <v>73</v>
      </c>
      <c r="E99" s="2" t="str">
        <f>C99&amp;"-"&amp;D99</f>
        <v>Milwise LP data of sales was reuired which was not planned. Later M&amp;S made the data-Difference in manual and system planning</v>
      </c>
    </row>
    <row r="100" spans="1:5" ht="26">
      <c r="A100" s="6" t="s">
        <v>75</v>
      </c>
      <c r="B100" s="1" t="s">
        <v>10</v>
      </c>
      <c r="C100" s="2" t="s">
        <v>74</v>
      </c>
      <c r="D100" s="2" t="s">
        <v>73</v>
      </c>
      <c r="E100" s="2" t="str">
        <f>C100&amp;"-"&amp;D100</f>
        <v>Ferroshot rate logic is weighted average of scraps in anaplan while there is no such planning done-Difference in manual and system planning</v>
      </c>
    </row>
    <row r="101" spans="1:5">
      <c r="A101" s="1" t="s">
        <v>66</v>
      </c>
      <c r="B101" s="1" t="s">
        <v>50</v>
      </c>
      <c r="C101" s="2" t="s">
        <v>72</v>
      </c>
      <c r="D101" s="2" t="s">
        <v>71</v>
      </c>
      <c r="E101" s="2" t="str">
        <f>C101&amp;"-"&amp;D101</f>
        <v>Utility data not available in Blast Furnace-There was a filter applied in view due to which grid was coming blank</v>
      </c>
    </row>
    <row r="102" spans="1:5" ht="25">
      <c r="A102" s="1" t="s">
        <v>66</v>
      </c>
      <c r="B102" s="1" t="s">
        <v>50</v>
      </c>
      <c r="C102" s="2" t="s">
        <v>70</v>
      </c>
      <c r="D102" s="2" t="s">
        <v>63</v>
      </c>
      <c r="E102" s="2" t="str">
        <f>C102&amp;"-"&amp;D102</f>
        <v>ABP'26_Iron Ore and Coal Distribution is not flowing in IM-Access issue at organization level in Integration Model which is resolved</v>
      </c>
    </row>
    <row r="103" spans="1:5">
      <c r="A103" s="1" t="s">
        <v>66</v>
      </c>
      <c r="B103" s="1" t="s">
        <v>69</v>
      </c>
      <c r="C103" s="2" t="s">
        <v>68</v>
      </c>
      <c r="D103" s="2" t="s">
        <v>67</v>
      </c>
      <c r="E103" s="2" t="str">
        <f>C103&amp;"-"&amp;D103</f>
        <v>GW TSK data was not getting pulled-Authorization issue in the data import action</v>
      </c>
    </row>
    <row r="104" spans="1:5">
      <c r="A104" s="1" t="s">
        <v>66</v>
      </c>
      <c r="B104" s="1" t="s">
        <v>65</v>
      </c>
      <c r="C104" s="2" t="s">
        <v>64</v>
      </c>
      <c r="D104" s="2" t="s">
        <v>63</v>
      </c>
      <c r="E104" s="2" t="str">
        <f>C104&amp;"-"&amp;D104</f>
        <v>Unable to pull HM /IO-Access issue at organization level in Integration Model which is resolved</v>
      </c>
    </row>
    <row r="105" spans="1:5" ht="14">
      <c r="A105" s="7" t="s">
        <v>15</v>
      </c>
      <c r="B105" s="1" t="s">
        <v>62</v>
      </c>
      <c r="C105" s="2" t="s">
        <v>61</v>
      </c>
      <c r="D105" s="2" t="s">
        <v>60</v>
      </c>
      <c r="E105" s="2" t="str">
        <f>C105&amp;"-"&amp;D105</f>
        <v>Total not tallying with the allocated cost in TSJ WCDC module-Correction done in formula</v>
      </c>
    </row>
    <row r="106" spans="1:5" ht="25.5">
      <c r="A106" s="7" t="s">
        <v>15</v>
      </c>
      <c r="B106" s="1" t="s">
        <v>55</v>
      </c>
      <c r="C106" s="2" t="s">
        <v>59</v>
      </c>
      <c r="D106" s="2" t="s">
        <v>58</v>
      </c>
      <c r="E106" s="2" t="str">
        <f>C106&amp;"-"&amp;D106</f>
        <v>Unable to view JMBL Cess in any of the OMQ Cost sheets( Noamundi, Vijaya II and OMQ Total Cost sheet.-Dashboard not published in front end for users to view</v>
      </c>
    </row>
    <row r="107" spans="1:5" ht="14">
      <c r="A107" s="7" t="s">
        <v>15</v>
      </c>
      <c r="B107" s="1" t="s">
        <v>55</v>
      </c>
      <c r="D107" s="2" t="s">
        <v>56</v>
      </c>
      <c r="E107" s="2" t="str">
        <f>C107&amp;"-"&amp;D107</f>
        <v>-Mapping done twice by IT mistakenly</v>
      </c>
    </row>
    <row r="108" spans="1:5" ht="14">
      <c r="A108" s="7" t="s">
        <v>15</v>
      </c>
      <c r="B108" s="1" t="s">
        <v>55</v>
      </c>
      <c r="C108" s="2" t="s">
        <v>54</v>
      </c>
      <c r="D108" s="2" t="s">
        <v>53</v>
      </c>
      <c r="E108" s="2" t="str">
        <f>C108&amp;"-"&amp;D108</f>
        <v>Mismatch in Working and Integrated version-Actions corrected</v>
      </c>
    </row>
    <row r="109" spans="1:5" ht="25.5">
      <c r="A109" s="7" t="s">
        <v>15</v>
      </c>
      <c r="B109" s="1" t="s">
        <v>50</v>
      </c>
      <c r="C109" s="2" t="s">
        <v>52</v>
      </c>
      <c r="D109" s="2" t="s">
        <v>51</v>
      </c>
      <c r="E109" s="2" t="str">
        <f>C109&amp;"-"&amp;D109</f>
        <v>Coke Plant Prodn and Coke Consumption Rate cannot be seen in cons. Rate mat bal screen, but it correctly seen in other screen-Different line item was published in the FY'26 Dashboard's grid due to which correct data was not appearing.</v>
      </c>
    </row>
    <row r="110" spans="1:5" ht="14">
      <c r="A110" s="7" t="s">
        <v>15</v>
      </c>
      <c r="B110" s="1" t="s">
        <v>50</v>
      </c>
      <c r="C110" s="2" t="s">
        <v>49</v>
      </c>
      <c r="D110" s="2" t="s">
        <v>48</v>
      </c>
      <c r="E110" s="2" t="str">
        <f>C110&amp;"-"&amp;D110</f>
        <v>HMC coke cost not getting pushed to TSK and TSM-Action issues corrected by IT</v>
      </c>
    </row>
    <row r="111" spans="1:5" ht="14">
      <c r="A111" s="7" t="s">
        <v>15</v>
      </c>
      <c r="B111" s="1" t="s">
        <v>10</v>
      </c>
      <c r="C111" s="2" t="s">
        <v>47</v>
      </c>
      <c r="D111" s="2" t="s">
        <v>19</v>
      </c>
      <c r="E111" s="2" t="str">
        <f>C111&amp;"-"&amp;D111</f>
        <v>SPC and Purchase Billet data is not reflecting in integrated version-Action corrected</v>
      </c>
    </row>
    <row r="112" spans="1:5" ht="14">
      <c r="A112" s="7" t="s">
        <v>15</v>
      </c>
      <c r="B112" s="1" t="s">
        <v>10</v>
      </c>
      <c r="C112" s="2" t="s">
        <v>46</v>
      </c>
      <c r="D112" s="2" t="s">
        <v>19</v>
      </c>
      <c r="E112" s="2" t="str">
        <f>C112&amp;"-"&amp;D112</f>
        <v>Unable to pull data from Inbound Action in Anaplan-Action corrected</v>
      </c>
    </row>
    <row r="113" spans="1:5" ht="14">
      <c r="A113" s="7" t="s">
        <v>15</v>
      </c>
      <c r="B113" s="1" t="s">
        <v>10</v>
      </c>
      <c r="C113" s="2" t="s">
        <v>45</v>
      </c>
      <c r="D113" s="2" t="s">
        <v>19</v>
      </c>
      <c r="E113" s="2" t="str">
        <f>C113&amp;"-"&amp;D113</f>
        <v>Unable to move from working submission to integrated version-Action corrected</v>
      </c>
    </row>
    <row r="114" spans="1:5" ht="14">
      <c r="A114" s="7" t="s">
        <v>15</v>
      </c>
      <c r="B114" s="1" t="s">
        <v>41</v>
      </c>
      <c r="C114" s="2" t="s">
        <v>44</v>
      </c>
      <c r="D114" s="2" t="s">
        <v>32</v>
      </c>
      <c r="E114" s="2" t="str">
        <f>C114&amp;"-"&amp;D114</f>
        <v xml:space="preserve">Lab inventory report slab cons is not appearing-Correction done </v>
      </c>
    </row>
    <row r="115" spans="1:5" ht="14">
      <c r="A115" s="7" t="s">
        <v>15</v>
      </c>
      <c r="B115" s="1" t="s">
        <v>41</v>
      </c>
      <c r="C115" s="2" t="s">
        <v>43</v>
      </c>
      <c r="D115" s="2" t="s">
        <v>32</v>
      </c>
      <c r="E115" s="2" t="str">
        <f>C115&amp;"-"&amp;D115</f>
        <v xml:space="preserve">Version movement issue from working -submission to integrated version-Correction done </v>
      </c>
    </row>
    <row r="116" spans="1:5" ht="14">
      <c r="A116" s="7" t="s">
        <v>15</v>
      </c>
      <c r="B116" s="1" t="s">
        <v>41</v>
      </c>
      <c r="C116" s="2" t="s">
        <v>42</v>
      </c>
      <c r="D116" s="2" t="s">
        <v>32</v>
      </c>
      <c r="E116" s="2" t="str">
        <f>C116&amp;"-"&amp;D116</f>
        <v xml:space="preserve">After mapping pig iron own, the data is not flowing in BOF-Correction done </v>
      </c>
    </row>
    <row r="117" spans="1:5" ht="14">
      <c r="A117" s="7" t="s">
        <v>15</v>
      </c>
      <c r="B117" s="1" t="s">
        <v>41</v>
      </c>
      <c r="C117" s="2" t="s">
        <v>40</v>
      </c>
      <c r="D117" s="2" t="s">
        <v>32</v>
      </c>
      <c r="E117" s="2" t="str">
        <f>C117&amp;"-"&amp;D117</f>
        <v xml:space="preserve">Lime fines closing rate diff in WS and integration-Correction done </v>
      </c>
    </row>
    <row r="118" spans="1:5" ht="14">
      <c r="A118" s="7" t="s">
        <v>15</v>
      </c>
      <c r="B118" s="1" t="s">
        <v>39</v>
      </c>
      <c r="C118" s="2" t="s">
        <v>38</v>
      </c>
      <c r="D118" s="2" t="s">
        <v>19</v>
      </c>
      <c r="E118" s="2" t="str">
        <f>C118&amp;"-"&amp;D118</f>
        <v>Depreciation not flowing-Action corrected</v>
      </c>
    </row>
    <row r="119" spans="1:5" ht="14">
      <c r="A119" s="7" t="s">
        <v>15</v>
      </c>
      <c r="B119" s="1" t="s">
        <v>36</v>
      </c>
      <c r="C119" s="2" t="s">
        <v>37</v>
      </c>
      <c r="D119" s="2" t="s">
        <v>19</v>
      </c>
      <c r="E119" s="2" t="str">
        <f>C119&amp;"-"&amp;D119</f>
        <v>Differences in rates and WPP after transferring data from local to integrated version-Action corrected</v>
      </c>
    </row>
    <row r="120" spans="1:5" ht="14">
      <c r="A120" s="7" t="s">
        <v>15</v>
      </c>
      <c r="B120" s="1" t="s">
        <v>36</v>
      </c>
      <c r="C120" s="2" t="s">
        <v>35</v>
      </c>
      <c r="D120" s="2" t="s">
        <v>32</v>
      </c>
      <c r="E120" s="2" t="str">
        <f>C120&amp;"-"&amp;D120</f>
        <v xml:space="preserve">Purchase power cost (rate) in WPP for power rate not flowing-Correction done </v>
      </c>
    </row>
    <row r="121" spans="1:5" ht="14">
      <c r="A121" s="7" t="s">
        <v>15</v>
      </c>
      <c r="B121" s="1" t="s">
        <v>34</v>
      </c>
      <c r="C121" s="2" t="s">
        <v>33</v>
      </c>
      <c r="D121" s="2" t="s">
        <v>32</v>
      </c>
      <c r="E121" s="2" t="str">
        <f>C121&amp;"-"&amp;D121</f>
        <v xml:space="preserve">The generation nos for By Product Gases are not appearing in Cost Sheet-Correction done </v>
      </c>
    </row>
    <row r="122" spans="1:5" ht="14">
      <c r="A122" s="7" t="s">
        <v>15</v>
      </c>
      <c r="B122" s="1" t="s">
        <v>7</v>
      </c>
      <c r="C122" s="2" t="s">
        <v>31</v>
      </c>
      <c r="D122" s="2" t="s">
        <v>29</v>
      </c>
      <c r="E122" s="2" t="str">
        <f>C122&amp;"-"&amp;D122</f>
        <v>Time filter not updated for ABP FY'26-Correction done - format for updating new schemes was different</v>
      </c>
    </row>
    <row r="123" spans="1:5" ht="25.5">
      <c r="A123" s="7" t="s">
        <v>15</v>
      </c>
      <c r="B123" s="1" t="s">
        <v>7</v>
      </c>
      <c r="C123" s="2" t="s">
        <v>30</v>
      </c>
      <c r="D123" s="2" t="s">
        <v>29</v>
      </c>
      <c r="E123" s="2" t="str">
        <f>C123&amp;"-"&amp;D123</f>
        <v>Integration data was not flowing for many tracks like TCIL, IBMD, etc-Correction done - format for updating new schemes was different</v>
      </c>
    </row>
    <row r="124" spans="1:5" ht="25.5">
      <c r="A124" s="7" t="s">
        <v>15</v>
      </c>
      <c r="B124" s="1" t="s">
        <v>28</v>
      </c>
      <c r="C124" s="2" t="s">
        <v>27</v>
      </c>
      <c r="E124" s="2" t="str">
        <f>C124&amp;"-"&amp;D124</f>
        <v>Bearings export sales volume planning data not reflecting correct. Huge value appearing as ABP FY'25 Data also showing in summary for bearings-</v>
      </c>
    </row>
    <row r="125" spans="1:5" ht="14">
      <c r="A125" s="7" t="s">
        <v>15</v>
      </c>
      <c r="B125" s="1" t="s">
        <v>26</v>
      </c>
      <c r="C125" s="2" t="s">
        <v>25</v>
      </c>
      <c r="D125" s="2" t="s">
        <v>24</v>
      </c>
      <c r="E125" s="2" t="str">
        <f>C125&amp;"-"&amp;D125</f>
        <v>Steel cost addition in list of new products added in master -Was done manually - action not working</v>
      </c>
    </row>
    <row r="126" spans="1:5" ht="14">
      <c r="A126" s="7" t="s">
        <v>15</v>
      </c>
      <c r="B126" s="1" t="s">
        <v>23</v>
      </c>
      <c r="C126" s="2" t="s">
        <v>22</v>
      </c>
      <c r="D126" s="2" t="s">
        <v>21</v>
      </c>
      <c r="E126" s="2" t="str">
        <f>C126&amp;"-"&amp;D126</f>
        <v>TM cost was not flowing-Due to new changes in OC, mapping was redone</v>
      </c>
    </row>
    <row r="127" spans="1:5" ht="14">
      <c r="A127" s="7" t="s">
        <v>15</v>
      </c>
      <c r="B127" s="1" t="s">
        <v>18</v>
      </c>
      <c r="C127" s="2" t="s">
        <v>20</v>
      </c>
      <c r="D127" s="2" t="s">
        <v>19</v>
      </c>
      <c r="E127" s="2" t="str">
        <f>C127&amp;"-"&amp;D127</f>
        <v>Difference in local and integrated version-Action corrected</v>
      </c>
    </row>
    <row r="128" spans="1:5" ht="25.5">
      <c r="A128" s="7" t="s">
        <v>15</v>
      </c>
      <c r="B128" s="1" t="s">
        <v>18</v>
      </c>
      <c r="C128" s="2" t="s">
        <v>17</v>
      </c>
      <c r="D128" s="2" t="s">
        <v>16</v>
      </c>
      <c r="E128" s="2" t="str">
        <f>C128&amp;"-"&amp;D128</f>
        <v>The consumption and transfer figures for RM grade WR3M for MIG wire sales are not appearing in module 2.03 RM planning volume and Cost-Master updated and links corrected</v>
      </c>
    </row>
    <row r="129" spans="1:5" ht="14">
      <c r="A129" s="7" t="s">
        <v>15</v>
      </c>
      <c r="B129" s="1" t="s">
        <v>14</v>
      </c>
      <c r="C129" s="2" t="s">
        <v>13</v>
      </c>
      <c r="D129" s="2" t="s">
        <v>12</v>
      </c>
      <c r="E129" s="2" t="str">
        <f>C129&amp;"-"&amp;D129</f>
        <v>TM Allocation in ABP FY26 is still visible -linkages corrected</v>
      </c>
    </row>
    <row r="130" spans="1:5" ht="14.5">
      <c r="A130" s="6" t="s">
        <v>11</v>
      </c>
      <c r="B130" s="1" t="s">
        <v>10</v>
      </c>
      <c r="C130" s="2" t="s">
        <v>9</v>
      </c>
    </row>
    <row r="131" spans="1:5">
      <c r="A131" s="1" t="s">
        <v>8</v>
      </c>
      <c r="B131" s="1" t="s">
        <v>7</v>
      </c>
      <c r="C131" s="2" t="s">
        <v>6</v>
      </c>
    </row>
    <row r="136" spans="1:5" ht="14">
      <c r="C136" s="5" t="s">
        <v>5</v>
      </c>
      <c r="D136" s="3"/>
      <c r="E136" s="3"/>
    </row>
    <row r="137" spans="1:5" ht="28">
      <c r="C137" s="4" t="s">
        <v>4</v>
      </c>
      <c r="D137" s="3"/>
      <c r="E137" s="3"/>
    </row>
    <row r="138" spans="1:5" ht="28">
      <c r="C138" s="4" t="s">
        <v>3</v>
      </c>
      <c r="D138" s="3"/>
      <c r="E138" s="3"/>
    </row>
    <row r="139" spans="1:5" ht="28">
      <c r="C139" s="4" t="s">
        <v>2</v>
      </c>
      <c r="D139" s="3"/>
      <c r="E139" s="3"/>
    </row>
    <row r="140" spans="1:5" ht="28">
      <c r="C140" s="4" t="s">
        <v>1</v>
      </c>
      <c r="D140" s="3"/>
      <c r="E140" s="3"/>
    </row>
    <row r="141" spans="1:5" ht="28">
      <c r="C141" s="4" t="s">
        <v>0</v>
      </c>
      <c r="D141" s="3"/>
      <c r="E141" s="3"/>
    </row>
    <row r="142" spans="1:5" ht="14">
      <c r="C142" s="3"/>
      <c r="D142" s="3"/>
      <c r="E142" s="3"/>
    </row>
  </sheetData>
  <autoFilter ref="A1:D131" xr:uid="{6B1120DC-F7B3-4D06-B441-02CB08FDBE8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398-38E1-4E71-BBBC-551DAECE7BB2}">
  <dimension ref="A1:K151"/>
  <sheetViews>
    <sheetView workbookViewId="0">
      <selection activeCell="C107" sqref="C107"/>
    </sheetView>
  </sheetViews>
  <sheetFormatPr defaultColWidth="9.1796875" defaultRowHeight="14.5"/>
  <cols>
    <col min="1" max="1" width="9.54296875" style="11" bestFit="1" customWidth="1"/>
    <col min="2" max="2" width="7.7265625" style="11" bestFit="1" customWidth="1"/>
    <col min="3" max="3" width="9.1796875" style="11"/>
    <col min="4" max="4" width="9.1796875" style="11" customWidth="1"/>
    <col min="5" max="5" width="12.7265625" style="11" customWidth="1"/>
    <col min="6" max="6" width="47.7265625" style="11" customWidth="1"/>
    <col min="7" max="7" width="20" style="11" customWidth="1"/>
    <col min="8" max="8" width="10.81640625" style="13" customWidth="1"/>
    <col min="9" max="9" width="17" style="13" bestFit="1" customWidth="1"/>
    <col min="10" max="10" width="29.453125" style="12" customWidth="1"/>
    <col min="11" max="11" width="26.453125" style="11" customWidth="1"/>
    <col min="12" max="16384" width="9.1796875" style="11"/>
  </cols>
  <sheetData>
    <row r="1" spans="1:11" s="43" customFormat="1">
      <c r="A1" s="48" t="s">
        <v>386</v>
      </c>
      <c r="B1" s="48" t="s">
        <v>385</v>
      </c>
      <c r="C1" s="48" t="s">
        <v>384</v>
      </c>
      <c r="D1" s="48" t="s">
        <v>383</v>
      </c>
      <c r="E1" s="48" t="s">
        <v>382</v>
      </c>
      <c r="F1" s="48" t="s">
        <v>381</v>
      </c>
      <c r="G1" s="48" t="s">
        <v>380</v>
      </c>
      <c r="H1" s="47" t="s">
        <v>379</v>
      </c>
      <c r="I1" s="46" t="s">
        <v>378</v>
      </c>
      <c r="J1" s="45" t="s">
        <v>377</v>
      </c>
      <c r="K1" s="44" t="s">
        <v>252</v>
      </c>
    </row>
    <row r="2" spans="1:11">
      <c r="A2" s="20">
        <v>7465682</v>
      </c>
      <c r="B2" s="20" t="s">
        <v>341</v>
      </c>
      <c r="C2" s="20" t="s">
        <v>332</v>
      </c>
      <c r="D2" s="20" t="s">
        <v>267</v>
      </c>
      <c r="E2" s="20" t="s">
        <v>322</v>
      </c>
      <c r="F2" s="20" t="s">
        <v>376</v>
      </c>
      <c r="G2" s="20" t="s">
        <v>256</v>
      </c>
      <c r="H2" s="42">
        <v>45684</v>
      </c>
      <c r="I2" s="41">
        <v>45684</v>
      </c>
      <c r="J2" s="14">
        <f>I2-H2</f>
        <v>0</v>
      </c>
      <c r="K2" s="20"/>
    </row>
    <row r="3" spans="1:11">
      <c r="A3" s="20">
        <v>7483704</v>
      </c>
      <c r="B3" s="20" t="s">
        <v>341</v>
      </c>
      <c r="C3" s="20" t="s">
        <v>332</v>
      </c>
      <c r="D3" s="20" t="s">
        <v>267</v>
      </c>
      <c r="E3" s="20" t="s">
        <v>322</v>
      </c>
      <c r="F3" s="20" t="s">
        <v>375</v>
      </c>
      <c r="G3" s="20" t="s">
        <v>256</v>
      </c>
      <c r="H3" s="42">
        <v>45688</v>
      </c>
      <c r="I3" s="41">
        <v>45689</v>
      </c>
      <c r="J3" s="14">
        <f>I3-H3</f>
        <v>1</v>
      </c>
      <c r="K3" s="20"/>
    </row>
    <row r="4" spans="1:11" customFormat="1">
      <c r="A4" s="40">
        <v>7397586</v>
      </c>
      <c r="B4" s="39" t="s">
        <v>374</v>
      </c>
      <c r="C4" s="23" t="s">
        <v>345</v>
      </c>
      <c r="D4" s="23" t="s">
        <v>361</v>
      </c>
      <c r="E4" s="39" t="s">
        <v>373</v>
      </c>
      <c r="F4" s="39" t="s">
        <v>372</v>
      </c>
      <c r="G4" s="23" t="s">
        <v>272</v>
      </c>
      <c r="H4" s="38">
        <v>45666</v>
      </c>
      <c r="I4" s="38">
        <v>45667</v>
      </c>
      <c r="J4" s="34">
        <f>I4-H4</f>
        <v>1</v>
      </c>
      <c r="K4" s="23"/>
    </row>
    <row r="5" spans="1:11" customFormat="1">
      <c r="A5" s="37">
        <v>7415485</v>
      </c>
      <c r="B5" s="36" t="s">
        <v>26</v>
      </c>
      <c r="C5" s="23" t="s">
        <v>345</v>
      </c>
      <c r="D5" s="23" t="s">
        <v>361</v>
      </c>
      <c r="E5" s="23" t="s">
        <v>361</v>
      </c>
      <c r="F5" s="36" t="s">
        <v>371</v>
      </c>
      <c r="G5" s="23" t="s">
        <v>256</v>
      </c>
      <c r="H5" s="38">
        <v>45672</v>
      </c>
      <c r="I5" s="38">
        <v>45674</v>
      </c>
      <c r="J5" s="34">
        <f>I5-H5</f>
        <v>2</v>
      </c>
      <c r="K5" s="23"/>
    </row>
    <row r="6" spans="1:11" customFormat="1">
      <c r="A6" s="37">
        <v>7439717</v>
      </c>
      <c r="B6" s="36" t="s">
        <v>26</v>
      </c>
      <c r="C6" s="23" t="s">
        <v>370</v>
      </c>
      <c r="D6" s="23" t="s">
        <v>361</v>
      </c>
      <c r="E6" s="23" t="s">
        <v>361</v>
      </c>
      <c r="F6" s="36" t="s">
        <v>369</v>
      </c>
      <c r="G6" s="23" t="s">
        <v>284</v>
      </c>
      <c r="H6" s="38">
        <v>45677</v>
      </c>
      <c r="I6" s="38">
        <v>45687</v>
      </c>
      <c r="J6" s="34">
        <f>I6-H6</f>
        <v>10</v>
      </c>
      <c r="K6" s="23"/>
    </row>
    <row r="7" spans="1:11" customFormat="1">
      <c r="A7" s="37">
        <v>7472155</v>
      </c>
      <c r="B7" s="36" t="s">
        <v>363</v>
      </c>
      <c r="C7" s="23" t="s">
        <v>62</v>
      </c>
      <c r="D7" s="23" t="s">
        <v>362</v>
      </c>
      <c r="E7" s="24" t="s">
        <v>368</v>
      </c>
      <c r="F7" s="36" t="s">
        <v>367</v>
      </c>
      <c r="G7" s="23" t="s">
        <v>272</v>
      </c>
      <c r="H7" s="38">
        <v>45685</v>
      </c>
      <c r="I7" s="38">
        <v>45686</v>
      </c>
      <c r="J7" s="34">
        <f>I7-H7</f>
        <v>1</v>
      </c>
      <c r="K7" s="23"/>
    </row>
    <row r="8" spans="1:11" customFormat="1">
      <c r="A8" s="37">
        <v>7482087</v>
      </c>
      <c r="B8" s="36" t="s">
        <v>363</v>
      </c>
      <c r="C8" s="23" t="s">
        <v>345</v>
      </c>
      <c r="D8" s="23" t="s">
        <v>362</v>
      </c>
      <c r="E8" s="23" t="s">
        <v>361</v>
      </c>
      <c r="F8" s="36" t="s">
        <v>366</v>
      </c>
      <c r="G8" s="23" t="s">
        <v>264</v>
      </c>
      <c r="H8" s="38">
        <v>45688</v>
      </c>
      <c r="I8" s="38">
        <v>45691</v>
      </c>
      <c r="J8" s="34">
        <f>I8-H8</f>
        <v>3</v>
      </c>
      <c r="K8" s="23"/>
    </row>
    <row r="9" spans="1:11" customFormat="1">
      <c r="A9" s="37">
        <v>7483011</v>
      </c>
      <c r="B9" s="36" t="s">
        <v>363</v>
      </c>
      <c r="C9" s="23" t="s">
        <v>345</v>
      </c>
      <c r="D9" s="23" t="s">
        <v>362</v>
      </c>
      <c r="E9" s="23" t="s">
        <v>361</v>
      </c>
      <c r="F9" s="36" t="s">
        <v>365</v>
      </c>
      <c r="G9" s="23" t="s">
        <v>272</v>
      </c>
      <c r="H9" s="38">
        <v>45688</v>
      </c>
      <c r="I9" s="38">
        <v>45688</v>
      </c>
      <c r="J9" s="34">
        <f>I9-H9</f>
        <v>0</v>
      </c>
      <c r="K9" s="23"/>
    </row>
    <row r="10" spans="1:11" customFormat="1">
      <c r="A10" s="37">
        <v>7483012</v>
      </c>
      <c r="B10" s="36" t="s">
        <v>363</v>
      </c>
      <c r="C10" s="23" t="s">
        <v>345</v>
      </c>
      <c r="D10" s="23" t="s">
        <v>362</v>
      </c>
      <c r="E10" s="23" t="s">
        <v>361</v>
      </c>
      <c r="F10" s="36" t="s">
        <v>364</v>
      </c>
      <c r="G10" s="23" t="s">
        <v>256</v>
      </c>
      <c r="H10" s="38">
        <v>45688</v>
      </c>
      <c r="I10" s="38">
        <v>45688</v>
      </c>
      <c r="J10" s="34">
        <f>I10-H10</f>
        <v>0</v>
      </c>
      <c r="K10" s="23"/>
    </row>
    <row r="11" spans="1:11" customFormat="1">
      <c r="A11" s="37">
        <v>7483105</v>
      </c>
      <c r="B11" s="36" t="s">
        <v>363</v>
      </c>
      <c r="C11" s="23" t="s">
        <v>345</v>
      </c>
      <c r="D11" s="23" t="s">
        <v>362</v>
      </c>
      <c r="E11" s="23" t="s">
        <v>361</v>
      </c>
      <c r="F11" s="36" t="s">
        <v>360</v>
      </c>
      <c r="G11" s="23" t="s">
        <v>262</v>
      </c>
      <c r="H11" s="35">
        <v>45688</v>
      </c>
      <c r="I11" s="35">
        <v>45694</v>
      </c>
      <c r="J11" s="34">
        <f>I11-H11</f>
        <v>6</v>
      </c>
      <c r="K11" s="23"/>
    </row>
    <row r="12" spans="1:11">
      <c r="A12" s="11" t="s">
        <v>261</v>
      </c>
      <c r="B12" s="31" t="s">
        <v>341</v>
      </c>
      <c r="C12" s="33" t="s">
        <v>345</v>
      </c>
      <c r="D12" s="33" t="s">
        <v>353</v>
      </c>
      <c r="E12" s="32" t="s">
        <v>359</v>
      </c>
      <c r="F12" s="31" t="s">
        <v>358</v>
      </c>
      <c r="G12" s="20" t="s">
        <v>262</v>
      </c>
      <c r="H12" s="13">
        <v>45677</v>
      </c>
      <c r="I12" s="13">
        <v>45677</v>
      </c>
      <c r="J12" s="14">
        <f>I12-H12</f>
        <v>0</v>
      </c>
    </row>
    <row r="13" spans="1:11" customFormat="1">
      <c r="A13" t="s">
        <v>261</v>
      </c>
      <c r="B13" s="28" t="s">
        <v>23</v>
      </c>
      <c r="C13" s="25" t="s">
        <v>345</v>
      </c>
      <c r="D13" s="25" t="s">
        <v>353</v>
      </c>
      <c r="E13" s="29" t="s">
        <v>355</v>
      </c>
      <c r="F13" s="28" t="s">
        <v>357</v>
      </c>
      <c r="G13" s="23" t="s">
        <v>262</v>
      </c>
      <c r="H13" s="16">
        <v>45670</v>
      </c>
      <c r="I13" s="16">
        <v>45671</v>
      </c>
      <c r="J13" s="15">
        <v>6</v>
      </c>
    </row>
    <row r="14" spans="1:11" customFormat="1">
      <c r="A14" t="s">
        <v>261</v>
      </c>
      <c r="B14" s="28" t="s">
        <v>18</v>
      </c>
      <c r="C14" s="25" t="s">
        <v>345</v>
      </c>
      <c r="D14" s="25" t="s">
        <v>353</v>
      </c>
      <c r="E14" s="29" t="s">
        <v>352</v>
      </c>
      <c r="F14" s="30" t="s">
        <v>356</v>
      </c>
      <c r="G14" s="23" t="s">
        <v>262</v>
      </c>
      <c r="H14" s="16">
        <v>45681</v>
      </c>
      <c r="I14" s="16">
        <v>45681</v>
      </c>
      <c r="J14" s="15">
        <v>4</v>
      </c>
    </row>
    <row r="15" spans="1:11" customFormat="1">
      <c r="A15" t="s">
        <v>261</v>
      </c>
      <c r="B15" s="28" t="s">
        <v>23</v>
      </c>
      <c r="C15" s="25" t="s">
        <v>345</v>
      </c>
      <c r="D15" s="25" t="s">
        <v>353</v>
      </c>
      <c r="E15" s="29" t="s">
        <v>355</v>
      </c>
      <c r="F15" s="28" t="s">
        <v>354</v>
      </c>
      <c r="G15" s="23" t="s">
        <v>262</v>
      </c>
      <c r="H15" s="16">
        <v>45684</v>
      </c>
      <c r="I15" s="16">
        <v>45684</v>
      </c>
      <c r="J15" s="15">
        <v>5</v>
      </c>
    </row>
    <row r="16" spans="1:11" customFormat="1">
      <c r="A16" t="s">
        <v>261</v>
      </c>
      <c r="B16" s="28" t="s">
        <v>18</v>
      </c>
      <c r="C16" s="25" t="s">
        <v>345</v>
      </c>
      <c r="D16" s="25" t="s">
        <v>353</v>
      </c>
      <c r="E16" s="29" t="s">
        <v>352</v>
      </c>
      <c r="F16" s="28" t="s">
        <v>351</v>
      </c>
      <c r="G16" s="23" t="s">
        <v>262</v>
      </c>
      <c r="H16" s="16">
        <v>45685</v>
      </c>
      <c r="I16" s="16">
        <v>45685</v>
      </c>
      <c r="J16" s="15">
        <v>5</v>
      </c>
    </row>
    <row r="17" spans="1:10" customFormat="1">
      <c r="A17" s="26">
        <v>7434273</v>
      </c>
      <c r="B17" s="22" t="s">
        <v>346</v>
      </c>
      <c r="C17" s="25" t="s">
        <v>345</v>
      </c>
      <c r="D17" s="25" t="s">
        <v>344</v>
      </c>
      <c r="E17" s="22" t="s">
        <v>350</v>
      </c>
      <c r="F17" s="22" t="s">
        <v>349</v>
      </c>
      <c r="G17" s="23" t="s">
        <v>272</v>
      </c>
      <c r="H17" s="16">
        <v>45674</v>
      </c>
      <c r="I17" s="16">
        <v>45688</v>
      </c>
      <c r="J17" s="15">
        <v>5</v>
      </c>
    </row>
    <row r="18" spans="1:10" customFormat="1">
      <c r="A18" s="26">
        <v>7477617</v>
      </c>
      <c r="B18" s="22" t="s">
        <v>348</v>
      </c>
      <c r="C18" s="25" t="s">
        <v>7</v>
      </c>
      <c r="D18" s="25" t="s">
        <v>344</v>
      </c>
      <c r="E18" s="22" t="s">
        <v>343</v>
      </c>
      <c r="F18" s="22" t="s">
        <v>347</v>
      </c>
      <c r="G18" s="23" t="s">
        <v>256</v>
      </c>
      <c r="H18" s="27">
        <v>45658</v>
      </c>
      <c r="I18" s="27">
        <v>45658</v>
      </c>
      <c r="J18" s="22">
        <f>I18-H18</f>
        <v>0</v>
      </c>
    </row>
    <row r="19" spans="1:10" customFormat="1">
      <c r="A19" s="26">
        <v>7484133</v>
      </c>
      <c r="B19" s="22" t="s">
        <v>346</v>
      </c>
      <c r="C19" s="25" t="s">
        <v>345</v>
      </c>
      <c r="D19" s="25" t="s">
        <v>344</v>
      </c>
      <c r="E19" s="24" t="s">
        <v>343</v>
      </c>
      <c r="F19" s="22" t="s">
        <v>342</v>
      </c>
      <c r="G19" s="23" t="s">
        <v>256</v>
      </c>
      <c r="H19" s="16">
        <v>45688</v>
      </c>
      <c r="I19" s="16">
        <v>45690</v>
      </c>
      <c r="J19" s="22">
        <f>I19-H19</f>
        <v>2</v>
      </c>
    </row>
    <row r="20" spans="1:10">
      <c r="A20" s="11" t="s">
        <v>324</v>
      </c>
      <c r="B20" s="11" t="s">
        <v>341</v>
      </c>
      <c r="C20" s="11" t="s">
        <v>332</v>
      </c>
      <c r="D20" s="11" t="s">
        <v>267</v>
      </c>
      <c r="E20" s="11" t="s">
        <v>322</v>
      </c>
      <c r="F20" s="11" t="s">
        <v>340</v>
      </c>
      <c r="G20" s="11" t="s">
        <v>339</v>
      </c>
      <c r="H20" s="13">
        <v>45685</v>
      </c>
      <c r="I20" s="13">
        <v>45685</v>
      </c>
      <c r="J20" s="14">
        <f>I20-H20</f>
        <v>0</v>
      </c>
    </row>
    <row r="21" spans="1:10">
      <c r="A21" s="11" t="s">
        <v>324</v>
      </c>
      <c r="B21" s="11" t="s">
        <v>269</v>
      </c>
      <c r="C21" s="11" t="s">
        <v>332</v>
      </c>
      <c r="D21" s="11" t="s">
        <v>267</v>
      </c>
      <c r="E21" s="11" t="s">
        <v>338</v>
      </c>
      <c r="F21" s="11" t="s">
        <v>337</v>
      </c>
      <c r="G21" s="11" t="s">
        <v>272</v>
      </c>
      <c r="H21" s="13">
        <v>45662</v>
      </c>
      <c r="I21" s="13">
        <v>45662</v>
      </c>
      <c r="J21" s="14">
        <f>I21-H21</f>
        <v>0</v>
      </c>
    </row>
    <row r="22" spans="1:10">
      <c r="A22" s="11" t="s">
        <v>324</v>
      </c>
      <c r="B22" s="11" t="s">
        <v>269</v>
      </c>
      <c r="C22" s="11" t="s">
        <v>323</v>
      </c>
      <c r="D22" s="11" t="s">
        <v>267</v>
      </c>
      <c r="E22" s="11" t="s">
        <v>322</v>
      </c>
      <c r="F22" s="11" t="s">
        <v>336</v>
      </c>
      <c r="G22" s="11" t="s">
        <v>272</v>
      </c>
      <c r="H22" s="13">
        <v>45666</v>
      </c>
      <c r="I22" s="13">
        <v>45666</v>
      </c>
      <c r="J22" s="14">
        <f>I22-H22</f>
        <v>0</v>
      </c>
    </row>
    <row r="23" spans="1:10">
      <c r="A23" s="11" t="s">
        <v>324</v>
      </c>
      <c r="B23" s="11" t="s">
        <v>269</v>
      </c>
      <c r="C23" s="11" t="s">
        <v>323</v>
      </c>
      <c r="D23" s="11" t="s">
        <v>267</v>
      </c>
      <c r="E23" s="11" t="s">
        <v>322</v>
      </c>
      <c r="F23" s="11" t="s">
        <v>335</v>
      </c>
      <c r="G23" s="11" t="s">
        <v>272</v>
      </c>
      <c r="H23" s="13">
        <v>45666</v>
      </c>
      <c r="I23" s="13">
        <v>45666</v>
      </c>
      <c r="J23" s="14">
        <f>I23-H23</f>
        <v>0</v>
      </c>
    </row>
    <row r="24" spans="1:10">
      <c r="A24" s="11" t="s">
        <v>324</v>
      </c>
      <c r="B24" s="11" t="s">
        <v>269</v>
      </c>
      <c r="C24" s="11" t="s">
        <v>323</v>
      </c>
      <c r="D24" s="11" t="s">
        <v>267</v>
      </c>
      <c r="E24" s="11" t="s">
        <v>322</v>
      </c>
      <c r="F24" s="11" t="s">
        <v>334</v>
      </c>
      <c r="G24" s="11" t="s">
        <v>272</v>
      </c>
      <c r="H24" s="13">
        <v>45666</v>
      </c>
      <c r="I24" s="13">
        <v>45666</v>
      </c>
      <c r="J24" s="14">
        <f>I24-H24</f>
        <v>0</v>
      </c>
    </row>
    <row r="25" spans="1:10">
      <c r="A25" s="11" t="s">
        <v>324</v>
      </c>
      <c r="B25" s="11" t="s">
        <v>269</v>
      </c>
      <c r="C25" s="11" t="s">
        <v>323</v>
      </c>
      <c r="D25" s="11" t="s">
        <v>267</v>
      </c>
      <c r="E25" s="11" t="s">
        <v>322</v>
      </c>
      <c r="F25" s="11" t="s">
        <v>333</v>
      </c>
      <c r="G25" s="11" t="s">
        <v>272</v>
      </c>
      <c r="H25" s="13">
        <v>45666</v>
      </c>
      <c r="I25" s="13">
        <v>45666</v>
      </c>
      <c r="J25" s="14">
        <f>I25-H25</f>
        <v>0</v>
      </c>
    </row>
    <row r="26" spans="1:10">
      <c r="A26" s="11" t="s">
        <v>270</v>
      </c>
      <c r="B26" s="11" t="s">
        <v>269</v>
      </c>
      <c r="C26" s="11" t="s">
        <v>332</v>
      </c>
      <c r="D26" s="11" t="s">
        <v>267</v>
      </c>
      <c r="E26" s="11" t="s">
        <v>322</v>
      </c>
      <c r="F26" s="11" t="s">
        <v>331</v>
      </c>
      <c r="G26" s="11" t="s">
        <v>272</v>
      </c>
      <c r="H26" s="13">
        <v>45666</v>
      </c>
      <c r="I26" s="13">
        <v>45666</v>
      </c>
      <c r="J26" s="14">
        <f>I26-H26</f>
        <v>0</v>
      </c>
    </row>
    <row r="27" spans="1:10">
      <c r="A27" s="11" t="s">
        <v>324</v>
      </c>
      <c r="B27" s="11" t="s">
        <v>269</v>
      </c>
      <c r="C27" s="11" t="s">
        <v>323</v>
      </c>
      <c r="D27" s="11" t="s">
        <v>267</v>
      </c>
      <c r="E27" s="11" t="s">
        <v>322</v>
      </c>
      <c r="F27" s="11" t="s">
        <v>330</v>
      </c>
      <c r="G27" s="11" t="s">
        <v>272</v>
      </c>
      <c r="H27" s="13">
        <v>45666</v>
      </c>
      <c r="I27" s="13">
        <v>45666</v>
      </c>
      <c r="J27" s="14">
        <f>I27-H27</f>
        <v>0</v>
      </c>
    </row>
    <row r="28" spans="1:10">
      <c r="A28" s="11" t="s">
        <v>324</v>
      </c>
      <c r="B28" s="11" t="s">
        <v>269</v>
      </c>
      <c r="C28" s="11" t="s">
        <v>323</v>
      </c>
      <c r="D28" s="11" t="s">
        <v>267</v>
      </c>
      <c r="E28" s="11" t="s">
        <v>322</v>
      </c>
      <c r="F28" s="11" t="s">
        <v>329</v>
      </c>
      <c r="G28" s="11" t="s">
        <v>328</v>
      </c>
      <c r="H28" s="13">
        <v>45673</v>
      </c>
      <c r="I28" s="13">
        <v>45673</v>
      </c>
      <c r="J28" s="14">
        <f>I28-H28</f>
        <v>0</v>
      </c>
    </row>
    <row r="29" spans="1:10">
      <c r="A29" s="11" t="s">
        <v>270</v>
      </c>
      <c r="B29" s="11" t="s">
        <v>269</v>
      </c>
      <c r="C29" s="11" t="s">
        <v>323</v>
      </c>
      <c r="D29" s="11" t="s">
        <v>267</v>
      </c>
      <c r="E29" s="11" t="s">
        <v>322</v>
      </c>
      <c r="F29" s="11" t="s">
        <v>327</v>
      </c>
      <c r="G29" s="11" t="s">
        <v>272</v>
      </c>
      <c r="H29" s="13">
        <v>45678</v>
      </c>
      <c r="I29" s="21">
        <v>45678</v>
      </c>
      <c r="J29" s="14">
        <f>I29-H29</f>
        <v>0</v>
      </c>
    </row>
    <row r="30" spans="1:10">
      <c r="A30" s="11" t="s">
        <v>324</v>
      </c>
      <c r="B30" s="11" t="s">
        <v>269</v>
      </c>
      <c r="C30" s="11" t="s">
        <v>323</v>
      </c>
      <c r="D30" s="11" t="s">
        <v>267</v>
      </c>
      <c r="E30" s="11" t="s">
        <v>322</v>
      </c>
      <c r="F30" s="11" t="s">
        <v>326</v>
      </c>
      <c r="G30" s="11" t="s">
        <v>272</v>
      </c>
      <c r="H30" s="13">
        <v>45687</v>
      </c>
      <c r="I30" s="13">
        <v>45687</v>
      </c>
      <c r="J30" s="14">
        <f>I30-H30</f>
        <v>0</v>
      </c>
    </row>
    <row r="31" spans="1:10">
      <c r="A31" s="11" t="s">
        <v>324</v>
      </c>
      <c r="B31" s="11" t="s">
        <v>269</v>
      </c>
      <c r="C31" s="11" t="s">
        <v>323</v>
      </c>
      <c r="D31" s="11" t="s">
        <v>267</v>
      </c>
      <c r="E31" s="11" t="s">
        <v>322</v>
      </c>
      <c r="F31" s="11" t="s">
        <v>325</v>
      </c>
      <c r="G31" s="11" t="s">
        <v>272</v>
      </c>
      <c r="H31" s="13">
        <v>45688</v>
      </c>
      <c r="I31" s="13">
        <v>45688</v>
      </c>
      <c r="J31" s="14">
        <f>I31-H31</f>
        <v>0</v>
      </c>
    </row>
    <row r="32" spans="1:10">
      <c r="A32" s="11" t="s">
        <v>324</v>
      </c>
      <c r="B32" s="11" t="s">
        <v>269</v>
      </c>
      <c r="C32" s="11" t="s">
        <v>323</v>
      </c>
      <c r="D32" s="11" t="s">
        <v>267</v>
      </c>
      <c r="E32" s="11" t="s">
        <v>322</v>
      </c>
      <c r="F32" s="11" t="s">
        <v>321</v>
      </c>
      <c r="G32" s="20" t="s">
        <v>256</v>
      </c>
      <c r="H32" s="13">
        <v>45688</v>
      </c>
      <c r="I32" s="13">
        <v>45688</v>
      </c>
      <c r="J32" s="14">
        <f>I32-H32</f>
        <v>0</v>
      </c>
    </row>
    <row r="33" spans="8:10">
      <c r="H33" s="11"/>
      <c r="I33" s="11"/>
      <c r="J33" s="11"/>
    </row>
    <row r="34" spans="8:10">
      <c r="H34" s="11"/>
      <c r="I34" s="11"/>
      <c r="J34" s="11"/>
    </row>
    <row r="35" spans="8:10">
      <c r="H35" s="11"/>
      <c r="I35" s="11"/>
      <c r="J35" s="11"/>
    </row>
    <row r="36" spans="8:10" ht="21" customHeight="1">
      <c r="H36" s="11"/>
      <c r="I36" s="11"/>
      <c r="J36" s="11"/>
    </row>
    <row r="37" spans="8:10">
      <c r="H37" s="11"/>
      <c r="I37" s="11"/>
      <c r="J37" s="11"/>
    </row>
    <row r="42" spans="8:10">
      <c r="H42" s="11"/>
      <c r="I42" s="11"/>
      <c r="J42" s="11"/>
    </row>
    <row r="43" spans="8:10">
      <c r="H43" s="11"/>
      <c r="I43" s="11"/>
      <c r="J43" s="11"/>
    </row>
    <row r="44" spans="8:10">
      <c r="H44" s="11"/>
      <c r="I44" s="11"/>
      <c r="J44" s="11"/>
    </row>
    <row r="60" spans="8:10">
      <c r="H60" s="11"/>
      <c r="I60" s="11"/>
      <c r="J60" s="11"/>
    </row>
    <row r="70" spans="8:10">
      <c r="H70" s="11"/>
      <c r="I70" s="11"/>
      <c r="J70" s="11"/>
    </row>
    <row r="71" spans="8:10">
      <c r="H71" s="11"/>
      <c r="I71" s="11"/>
      <c r="J71" s="11"/>
    </row>
    <row r="72" spans="8:10">
      <c r="H72" s="11"/>
      <c r="I72" s="11"/>
      <c r="J72" s="11"/>
    </row>
    <row r="73" spans="8:10">
      <c r="H73" s="11"/>
      <c r="I73" s="11"/>
      <c r="J73" s="11"/>
    </row>
    <row r="74" spans="8:10">
      <c r="H74" s="11"/>
      <c r="I74" s="11"/>
      <c r="J74" s="11"/>
    </row>
    <row r="75" spans="8:10">
      <c r="H75" s="11"/>
      <c r="I75" s="11"/>
      <c r="J75" s="11"/>
    </row>
    <row r="76" spans="8:10">
      <c r="H76" s="11"/>
      <c r="I76" s="11"/>
      <c r="J76" s="11"/>
    </row>
    <row r="77" spans="8:10">
      <c r="H77" s="11"/>
      <c r="I77" s="11"/>
      <c r="J77" s="11"/>
    </row>
    <row r="78" spans="8:10">
      <c r="H78" s="11"/>
      <c r="I78" s="11"/>
      <c r="J78" s="11"/>
    </row>
    <row r="79" spans="8:10">
      <c r="H79" s="11"/>
      <c r="I79" s="11"/>
      <c r="J79" s="11"/>
    </row>
    <row r="80" spans="8:10">
      <c r="H80" s="11"/>
      <c r="I80" s="11"/>
      <c r="J80" s="11"/>
    </row>
    <row r="81" spans="8:10">
      <c r="H81" s="11"/>
      <c r="I81" s="11"/>
      <c r="J81" s="11"/>
    </row>
    <row r="82" spans="8:10">
      <c r="H82" s="11"/>
      <c r="I82" s="11"/>
      <c r="J82" s="11"/>
    </row>
    <row r="86" spans="8:10">
      <c r="H86" s="11"/>
      <c r="I86" s="11"/>
      <c r="J86" s="11"/>
    </row>
    <row r="92" spans="8:10">
      <c r="H92" s="11"/>
      <c r="I92" s="11"/>
      <c r="J92" s="11"/>
    </row>
    <row r="93" spans="8:10">
      <c r="H93" s="11"/>
      <c r="I93" s="11"/>
      <c r="J93" s="11"/>
    </row>
    <row r="94" spans="8:10">
      <c r="H94" s="11"/>
      <c r="I94" s="11"/>
      <c r="J94" s="11"/>
    </row>
    <row r="95" spans="8:10">
      <c r="H95" s="11"/>
      <c r="I95" s="11"/>
      <c r="J95" s="11"/>
    </row>
    <row r="96" spans="8:10" ht="23.25" customHeight="1">
      <c r="H96" s="11"/>
      <c r="I96" s="11"/>
      <c r="J96" s="11"/>
    </row>
    <row r="98" spans="1:10">
      <c r="H98" s="11"/>
      <c r="I98" s="11"/>
      <c r="J98" s="11"/>
    </row>
    <row r="103" spans="1:10">
      <c r="H103" s="11"/>
      <c r="I103" s="11"/>
      <c r="J103" s="11"/>
    </row>
    <row r="104" spans="1:10">
      <c r="H104" s="11"/>
      <c r="I104" s="11"/>
      <c r="J104" s="11"/>
    </row>
    <row r="105" spans="1:10">
      <c r="H105" s="11"/>
      <c r="I105" s="11"/>
      <c r="J105" s="11"/>
    </row>
    <row r="106" spans="1:10">
      <c r="H106" s="11"/>
      <c r="I106" s="11"/>
      <c r="J106" s="11"/>
    </row>
    <row r="107" spans="1:10" customFormat="1">
      <c r="A107" t="s">
        <v>270</v>
      </c>
      <c r="B107" t="s">
        <v>269</v>
      </c>
      <c r="D107" t="s">
        <v>267</v>
      </c>
      <c r="E107" t="s">
        <v>308</v>
      </c>
      <c r="F107" t="s">
        <v>320</v>
      </c>
      <c r="G107" t="s">
        <v>272</v>
      </c>
      <c r="H107" s="16">
        <v>45713</v>
      </c>
      <c r="I107" s="16">
        <v>45713</v>
      </c>
      <c r="J107" s="15"/>
    </row>
    <row r="108" spans="1:10" customFormat="1">
      <c r="A108" t="s">
        <v>270</v>
      </c>
      <c r="B108" t="s">
        <v>269</v>
      </c>
      <c r="C108" t="s">
        <v>309</v>
      </c>
      <c r="D108" t="s">
        <v>267</v>
      </c>
      <c r="E108" t="s">
        <v>308</v>
      </c>
      <c r="F108" t="s">
        <v>319</v>
      </c>
      <c r="G108" t="s">
        <v>272</v>
      </c>
      <c r="H108" s="16">
        <v>45713</v>
      </c>
      <c r="I108" s="16">
        <v>45713</v>
      </c>
      <c r="J108" s="15"/>
    </row>
    <row r="109" spans="1:10" customFormat="1">
      <c r="A109" t="s">
        <v>270</v>
      </c>
      <c r="B109" t="s">
        <v>269</v>
      </c>
      <c r="C109" t="s">
        <v>309</v>
      </c>
      <c r="D109" t="s">
        <v>267</v>
      </c>
      <c r="E109" t="s">
        <v>308</v>
      </c>
      <c r="F109" t="s">
        <v>318</v>
      </c>
      <c r="G109" t="s">
        <v>272</v>
      </c>
      <c r="H109" s="16">
        <v>45713</v>
      </c>
      <c r="I109" s="16">
        <v>45713</v>
      </c>
      <c r="J109" s="15"/>
    </row>
    <row r="110" spans="1:10" customFormat="1">
      <c r="A110" t="s">
        <v>270</v>
      </c>
      <c r="B110" t="s">
        <v>269</v>
      </c>
      <c r="C110" t="s">
        <v>309</v>
      </c>
      <c r="D110" t="s">
        <v>267</v>
      </c>
      <c r="E110" t="s">
        <v>308</v>
      </c>
      <c r="F110" t="s">
        <v>317</v>
      </c>
      <c r="G110" t="s">
        <v>272</v>
      </c>
      <c r="H110" s="16">
        <v>45713</v>
      </c>
      <c r="I110" s="16">
        <v>45713</v>
      </c>
      <c r="J110" s="15"/>
    </row>
    <row r="111" spans="1:10" customFormat="1">
      <c r="A111" t="s">
        <v>270</v>
      </c>
      <c r="B111" t="s">
        <v>269</v>
      </c>
      <c r="C111" t="s">
        <v>309</v>
      </c>
      <c r="D111" t="s">
        <v>267</v>
      </c>
      <c r="E111" t="s">
        <v>308</v>
      </c>
      <c r="F111" t="s">
        <v>316</v>
      </c>
      <c r="G111" t="s">
        <v>272</v>
      </c>
      <c r="H111" s="16">
        <v>45713</v>
      </c>
      <c r="I111" s="16">
        <v>45713</v>
      </c>
      <c r="J111" s="15"/>
    </row>
    <row r="112" spans="1:10" customFormat="1">
      <c r="A112" t="s">
        <v>270</v>
      </c>
      <c r="B112" t="s">
        <v>269</v>
      </c>
      <c r="C112" t="s">
        <v>309</v>
      </c>
      <c r="D112" t="s">
        <v>267</v>
      </c>
      <c r="E112" t="s">
        <v>308</v>
      </c>
      <c r="F112" t="s">
        <v>315</v>
      </c>
      <c r="G112" t="s">
        <v>272</v>
      </c>
      <c r="H112" s="16">
        <v>45751</v>
      </c>
      <c r="I112" s="16">
        <v>45751</v>
      </c>
      <c r="J112" s="15"/>
    </row>
    <row r="113" spans="1:11" customFormat="1">
      <c r="A113" t="s">
        <v>270</v>
      </c>
      <c r="B113" t="s">
        <v>269</v>
      </c>
      <c r="C113" t="s">
        <v>309</v>
      </c>
      <c r="D113" t="s">
        <v>267</v>
      </c>
      <c r="E113" t="s">
        <v>308</v>
      </c>
      <c r="F113" t="s">
        <v>263</v>
      </c>
      <c r="G113" t="s">
        <v>272</v>
      </c>
      <c r="H113" s="16">
        <v>45751</v>
      </c>
      <c r="I113" s="16">
        <v>45751</v>
      </c>
      <c r="J113" s="15"/>
    </row>
    <row r="114" spans="1:11" customFormat="1">
      <c r="A114" t="s">
        <v>270</v>
      </c>
      <c r="B114" t="s">
        <v>269</v>
      </c>
      <c r="C114" t="s">
        <v>309</v>
      </c>
      <c r="D114" t="s">
        <v>267</v>
      </c>
      <c r="E114" t="s">
        <v>308</v>
      </c>
      <c r="F114" t="s">
        <v>314</v>
      </c>
      <c r="G114" t="s">
        <v>272</v>
      </c>
      <c r="H114" s="16">
        <v>45818</v>
      </c>
      <c r="I114" s="16">
        <v>45818</v>
      </c>
      <c r="J114" s="15"/>
    </row>
    <row r="115" spans="1:11" customFormat="1">
      <c r="A115" t="s">
        <v>270</v>
      </c>
      <c r="B115" t="s">
        <v>269</v>
      </c>
      <c r="C115" t="s">
        <v>309</v>
      </c>
      <c r="D115" t="s">
        <v>267</v>
      </c>
      <c r="E115" t="s">
        <v>308</v>
      </c>
      <c r="F115" t="s">
        <v>313</v>
      </c>
      <c r="G115" t="s">
        <v>272</v>
      </c>
      <c r="H115" s="16">
        <v>45814</v>
      </c>
      <c r="I115" s="16">
        <v>45814</v>
      </c>
      <c r="J115" s="15"/>
    </row>
    <row r="116" spans="1:11" customFormat="1">
      <c r="A116" t="s">
        <v>270</v>
      </c>
      <c r="B116" t="s">
        <v>269</v>
      </c>
      <c r="C116" t="s">
        <v>309</v>
      </c>
      <c r="D116" t="s">
        <v>267</v>
      </c>
      <c r="E116" t="s">
        <v>308</v>
      </c>
      <c r="F116" t="s">
        <v>312</v>
      </c>
      <c r="G116" t="s">
        <v>272</v>
      </c>
      <c r="H116" s="16">
        <v>45814</v>
      </c>
      <c r="I116" s="16">
        <v>45814</v>
      </c>
      <c r="J116" s="15"/>
    </row>
    <row r="117" spans="1:11" customFormat="1">
      <c r="A117" t="s">
        <v>270</v>
      </c>
      <c r="B117" t="s">
        <v>269</v>
      </c>
      <c r="C117" t="s">
        <v>309</v>
      </c>
      <c r="D117" t="s">
        <v>267</v>
      </c>
      <c r="E117" t="s">
        <v>308</v>
      </c>
      <c r="F117" t="s">
        <v>311</v>
      </c>
      <c r="G117" t="s">
        <v>256</v>
      </c>
      <c r="H117" s="16">
        <v>45814</v>
      </c>
      <c r="I117" s="16">
        <v>45814</v>
      </c>
      <c r="J117" s="15"/>
    </row>
    <row r="118" spans="1:11" customFormat="1">
      <c r="A118">
        <v>7585118</v>
      </c>
      <c r="B118" t="s">
        <v>269</v>
      </c>
      <c r="C118" t="s">
        <v>309</v>
      </c>
      <c r="D118" t="s">
        <v>267</v>
      </c>
      <c r="E118" t="s">
        <v>308</v>
      </c>
      <c r="F118" s="17" t="s">
        <v>310</v>
      </c>
      <c r="G118" t="s">
        <v>262</v>
      </c>
      <c r="H118" s="16">
        <v>45716</v>
      </c>
      <c r="I118" s="16">
        <v>45716</v>
      </c>
      <c r="J118" s="15"/>
    </row>
    <row r="119" spans="1:11" customFormat="1">
      <c r="A119" t="s">
        <v>270</v>
      </c>
      <c r="B119" t="s">
        <v>269</v>
      </c>
      <c r="C119" t="s">
        <v>309</v>
      </c>
      <c r="D119" t="s">
        <v>267</v>
      </c>
      <c r="E119" t="s">
        <v>308</v>
      </c>
      <c r="F119" t="s">
        <v>288</v>
      </c>
      <c r="G119" t="s">
        <v>256</v>
      </c>
      <c r="H119" s="16">
        <v>45813</v>
      </c>
      <c r="I119" s="16">
        <v>45813</v>
      </c>
      <c r="J119" s="15" t="s">
        <v>307</v>
      </c>
    </row>
    <row r="120" spans="1:11" customFormat="1">
      <c r="A120" t="s">
        <v>270</v>
      </c>
      <c r="B120" t="s">
        <v>269</v>
      </c>
      <c r="C120" t="s">
        <v>293</v>
      </c>
      <c r="D120" t="s">
        <v>267</v>
      </c>
      <c r="E120" t="s">
        <v>292</v>
      </c>
      <c r="F120" t="s">
        <v>306</v>
      </c>
      <c r="G120" t="s">
        <v>262</v>
      </c>
      <c r="H120" s="16">
        <v>45680</v>
      </c>
      <c r="I120" s="16">
        <v>45792</v>
      </c>
      <c r="J120" s="15"/>
      <c r="K120" t="s">
        <v>305</v>
      </c>
    </row>
    <row r="121" spans="1:11" customFormat="1">
      <c r="A121" t="s">
        <v>270</v>
      </c>
      <c r="B121" t="s">
        <v>269</v>
      </c>
      <c r="C121" t="s">
        <v>293</v>
      </c>
      <c r="D121" t="s">
        <v>267</v>
      </c>
      <c r="E121" t="s">
        <v>292</v>
      </c>
      <c r="F121" s="17" t="s">
        <v>304</v>
      </c>
      <c r="G121" t="s">
        <v>262</v>
      </c>
      <c r="H121" s="16">
        <v>45680</v>
      </c>
      <c r="I121" s="16">
        <v>45792</v>
      </c>
      <c r="J121" s="15"/>
      <c r="K121" t="s">
        <v>303</v>
      </c>
    </row>
    <row r="122" spans="1:11" customFormat="1">
      <c r="A122" t="s">
        <v>270</v>
      </c>
      <c r="B122" t="s">
        <v>269</v>
      </c>
      <c r="C122" t="s">
        <v>293</v>
      </c>
      <c r="D122" t="s">
        <v>267</v>
      </c>
      <c r="E122" t="s">
        <v>292</v>
      </c>
      <c r="F122" s="18" t="s">
        <v>302</v>
      </c>
      <c r="G122" t="s">
        <v>256</v>
      </c>
      <c r="H122" s="16">
        <v>45740</v>
      </c>
      <c r="I122" s="16">
        <v>45740</v>
      </c>
      <c r="J122" s="15"/>
    </row>
    <row r="123" spans="1:11" customFormat="1">
      <c r="A123" t="s">
        <v>270</v>
      </c>
      <c r="B123" t="s">
        <v>269</v>
      </c>
      <c r="C123" t="s">
        <v>293</v>
      </c>
      <c r="D123" t="s">
        <v>267</v>
      </c>
      <c r="E123" t="s">
        <v>292</v>
      </c>
      <c r="F123" s="18" t="s">
        <v>301</v>
      </c>
      <c r="G123" t="s">
        <v>262</v>
      </c>
      <c r="H123" s="16">
        <v>45740</v>
      </c>
      <c r="I123" s="16">
        <v>45740</v>
      </c>
      <c r="J123" s="15"/>
      <c r="K123" t="s">
        <v>300</v>
      </c>
    </row>
    <row r="124" spans="1:11" customFormat="1">
      <c r="A124" t="s">
        <v>270</v>
      </c>
      <c r="B124" t="s">
        <v>269</v>
      </c>
      <c r="C124" t="s">
        <v>293</v>
      </c>
      <c r="D124" t="s">
        <v>267</v>
      </c>
      <c r="E124" t="s">
        <v>292</v>
      </c>
      <c r="F124" t="s">
        <v>299</v>
      </c>
      <c r="G124" t="s">
        <v>262</v>
      </c>
      <c r="H124" s="16">
        <v>45740</v>
      </c>
      <c r="I124" s="16">
        <v>45740</v>
      </c>
      <c r="J124" s="15"/>
      <c r="K124" s="19" t="s">
        <v>296</v>
      </c>
    </row>
    <row r="125" spans="1:11" customFormat="1">
      <c r="A125" t="s">
        <v>270</v>
      </c>
      <c r="B125" t="s">
        <v>269</v>
      </c>
      <c r="C125" t="s">
        <v>293</v>
      </c>
      <c r="D125" t="s">
        <v>267</v>
      </c>
      <c r="E125" t="s">
        <v>292</v>
      </c>
      <c r="F125" t="s">
        <v>298</v>
      </c>
      <c r="G125" t="s">
        <v>262</v>
      </c>
      <c r="H125" s="16">
        <v>45740</v>
      </c>
      <c r="I125" s="16">
        <v>45740</v>
      </c>
      <c r="J125" s="15"/>
      <c r="K125" s="19" t="s">
        <v>296</v>
      </c>
    </row>
    <row r="126" spans="1:11" customFormat="1">
      <c r="A126" t="s">
        <v>270</v>
      </c>
      <c r="B126" t="s">
        <v>269</v>
      </c>
      <c r="C126" t="s">
        <v>293</v>
      </c>
      <c r="D126" t="s">
        <v>267</v>
      </c>
      <c r="E126" t="s">
        <v>292</v>
      </c>
      <c r="F126" t="s">
        <v>297</v>
      </c>
      <c r="G126" t="s">
        <v>262</v>
      </c>
      <c r="H126" s="16">
        <v>45740</v>
      </c>
      <c r="I126" s="16">
        <v>45740</v>
      </c>
      <c r="J126" s="15"/>
      <c r="K126" s="19" t="s">
        <v>296</v>
      </c>
    </row>
    <row r="127" spans="1:11" customFormat="1">
      <c r="A127" t="s">
        <v>270</v>
      </c>
      <c r="B127" t="s">
        <v>269</v>
      </c>
      <c r="C127" t="s">
        <v>293</v>
      </c>
      <c r="D127" t="s">
        <v>267</v>
      </c>
      <c r="E127" t="s">
        <v>292</v>
      </c>
      <c r="F127" s="18" t="s">
        <v>295</v>
      </c>
      <c r="G127" t="s">
        <v>262</v>
      </c>
      <c r="H127" s="16">
        <v>45742</v>
      </c>
      <c r="I127" s="16">
        <v>45742</v>
      </c>
      <c r="J127" s="15"/>
      <c r="K127" t="s">
        <v>294</v>
      </c>
    </row>
    <row r="128" spans="1:11" customFormat="1">
      <c r="A128" t="s">
        <v>270</v>
      </c>
      <c r="B128" t="s">
        <v>269</v>
      </c>
      <c r="C128" t="s">
        <v>293</v>
      </c>
      <c r="D128" t="s">
        <v>267</v>
      </c>
      <c r="E128" t="s">
        <v>292</v>
      </c>
      <c r="F128" t="s">
        <v>291</v>
      </c>
      <c r="G128" t="s">
        <v>256</v>
      </c>
      <c r="H128" s="16">
        <v>45784</v>
      </c>
      <c r="I128" s="16">
        <v>45784</v>
      </c>
      <c r="J128" s="15"/>
    </row>
    <row r="129" spans="1:11" customFormat="1">
      <c r="A129" t="s">
        <v>270</v>
      </c>
      <c r="B129" t="s">
        <v>269</v>
      </c>
      <c r="C129" t="s">
        <v>268</v>
      </c>
      <c r="D129" t="s">
        <v>267</v>
      </c>
      <c r="E129" t="s">
        <v>266</v>
      </c>
      <c r="F129" t="s">
        <v>290</v>
      </c>
      <c r="G129" t="s">
        <v>264</v>
      </c>
      <c r="H129" s="16">
        <v>45687</v>
      </c>
      <c r="I129" s="16">
        <v>45687</v>
      </c>
      <c r="J129" s="15"/>
    </row>
    <row r="130" spans="1:11" customFormat="1">
      <c r="A130" t="s">
        <v>270</v>
      </c>
      <c r="B130" t="s">
        <v>269</v>
      </c>
      <c r="C130" t="s">
        <v>268</v>
      </c>
      <c r="D130" t="s">
        <v>267</v>
      </c>
      <c r="E130" t="s">
        <v>266</v>
      </c>
      <c r="F130" t="s">
        <v>289</v>
      </c>
      <c r="G130" t="s">
        <v>272</v>
      </c>
      <c r="H130" s="16">
        <v>45701</v>
      </c>
      <c r="I130" s="16">
        <v>45701</v>
      </c>
      <c r="J130" s="15"/>
    </row>
    <row r="131" spans="1:11" customFormat="1">
      <c r="A131" t="s">
        <v>270</v>
      </c>
      <c r="B131" t="s">
        <v>269</v>
      </c>
      <c r="C131" t="s">
        <v>268</v>
      </c>
      <c r="D131" t="s">
        <v>267</v>
      </c>
      <c r="E131" t="s">
        <v>266</v>
      </c>
      <c r="F131" t="s">
        <v>288</v>
      </c>
      <c r="G131" t="s">
        <v>256</v>
      </c>
      <c r="H131" s="16">
        <v>45706</v>
      </c>
      <c r="I131" s="16">
        <v>45706</v>
      </c>
      <c r="J131" s="15"/>
    </row>
    <row r="132" spans="1:11" customFormat="1">
      <c r="A132" t="s">
        <v>270</v>
      </c>
      <c r="B132" t="s">
        <v>269</v>
      </c>
      <c r="C132" t="s">
        <v>268</v>
      </c>
      <c r="D132" t="s">
        <v>267</v>
      </c>
      <c r="E132" t="s">
        <v>266</v>
      </c>
      <c r="F132" t="s">
        <v>287</v>
      </c>
      <c r="G132" t="s">
        <v>272</v>
      </c>
      <c r="H132" s="16">
        <v>45707</v>
      </c>
      <c r="I132" s="16">
        <v>45707</v>
      </c>
      <c r="J132" s="15"/>
    </row>
    <row r="133" spans="1:11" customFormat="1">
      <c r="A133" t="s">
        <v>270</v>
      </c>
      <c r="B133" t="s">
        <v>269</v>
      </c>
      <c r="C133" t="s">
        <v>268</v>
      </c>
      <c r="D133" t="s">
        <v>267</v>
      </c>
      <c r="E133" t="s">
        <v>266</v>
      </c>
      <c r="F133" t="s">
        <v>286</v>
      </c>
      <c r="G133" t="s">
        <v>256</v>
      </c>
      <c r="H133" s="16">
        <v>45708</v>
      </c>
      <c r="I133" s="16">
        <v>45708</v>
      </c>
      <c r="J133" s="15"/>
    </row>
    <row r="134" spans="1:11" customFormat="1">
      <c r="A134" t="s">
        <v>270</v>
      </c>
      <c r="B134" t="s">
        <v>269</v>
      </c>
      <c r="C134" t="s">
        <v>268</v>
      </c>
      <c r="D134" t="s">
        <v>267</v>
      </c>
      <c r="E134" t="s">
        <v>266</v>
      </c>
      <c r="F134" t="s">
        <v>285</v>
      </c>
      <c r="G134" t="s">
        <v>284</v>
      </c>
      <c r="H134" s="16">
        <v>45751</v>
      </c>
      <c r="I134" s="16">
        <v>45751</v>
      </c>
      <c r="J134" s="15"/>
    </row>
    <row r="135" spans="1:11" customFormat="1">
      <c r="A135" t="s">
        <v>270</v>
      </c>
      <c r="B135" t="s">
        <v>269</v>
      </c>
      <c r="C135" t="s">
        <v>268</v>
      </c>
      <c r="D135" t="s">
        <v>267</v>
      </c>
      <c r="E135" t="s">
        <v>266</v>
      </c>
      <c r="F135" t="s">
        <v>283</v>
      </c>
      <c r="G135" t="s">
        <v>272</v>
      </c>
      <c r="H135" s="16">
        <v>45757</v>
      </c>
      <c r="I135" s="16">
        <v>45757</v>
      </c>
      <c r="J135" s="15"/>
      <c r="K135" t="s">
        <v>282</v>
      </c>
    </row>
    <row r="136" spans="1:11" customFormat="1">
      <c r="A136" t="s">
        <v>270</v>
      </c>
      <c r="B136" t="s">
        <v>269</v>
      </c>
      <c r="C136" t="s">
        <v>268</v>
      </c>
      <c r="D136" t="s">
        <v>267</v>
      </c>
      <c r="E136" t="s">
        <v>266</v>
      </c>
      <c r="F136" t="s">
        <v>281</v>
      </c>
      <c r="G136" t="s">
        <v>272</v>
      </c>
      <c r="H136" s="16">
        <v>45763</v>
      </c>
      <c r="I136" s="16">
        <v>45763</v>
      </c>
      <c r="J136" s="15"/>
    </row>
    <row r="137" spans="1:11" customFormat="1">
      <c r="A137" t="s">
        <v>270</v>
      </c>
      <c r="B137" t="s">
        <v>269</v>
      </c>
      <c r="C137" t="s">
        <v>268</v>
      </c>
      <c r="D137" t="s">
        <v>267</v>
      </c>
      <c r="E137" t="s">
        <v>266</v>
      </c>
      <c r="F137" t="s">
        <v>280</v>
      </c>
      <c r="G137" t="s">
        <v>262</v>
      </c>
      <c r="H137" s="16">
        <v>45770</v>
      </c>
      <c r="I137" s="16">
        <v>45777</v>
      </c>
      <c r="J137" s="15"/>
      <c r="K137" t="s">
        <v>279</v>
      </c>
    </row>
    <row r="138" spans="1:11" customFormat="1">
      <c r="A138" t="s">
        <v>270</v>
      </c>
      <c r="B138" t="s">
        <v>269</v>
      </c>
      <c r="C138" t="s">
        <v>268</v>
      </c>
      <c r="D138" t="s">
        <v>267</v>
      </c>
      <c r="E138" t="s">
        <v>266</v>
      </c>
      <c r="F138" t="s">
        <v>278</v>
      </c>
      <c r="G138" t="s">
        <v>262</v>
      </c>
      <c r="H138" s="16">
        <v>45775</v>
      </c>
      <c r="I138" s="16">
        <v>45787</v>
      </c>
      <c r="J138" s="15"/>
      <c r="K138" t="s">
        <v>277</v>
      </c>
    </row>
    <row r="139" spans="1:11" customFormat="1">
      <c r="A139" t="s">
        <v>270</v>
      </c>
      <c r="B139" t="s">
        <v>269</v>
      </c>
      <c r="C139" t="s">
        <v>268</v>
      </c>
      <c r="D139" t="s">
        <v>267</v>
      </c>
      <c r="E139" t="s">
        <v>266</v>
      </c>
      <c r="F139" t="s">
        <v>276</v>
      </c>
      <c r="G139" t="s">
        <v>256</v>
      </c>
      <c r="H139" s="16">
        <v>45789</v>
      </c>
      <c r="I139" s="16">
        <v>45789</v>
      </c>
      <c r="J139" s="15"/>
    </row>
    <row r="140" spans="1:11" customFormat="1">
      <c r="A140" t="s">
        <v>270</v>
      </c>
      <c r="B140" t="s">
        <v>269</v>
      </c>
      <c r="C140" t="s">
        <v>268</v>
      </c>
      <c r="D140" t="s">
        <v>267</v>
      </c>
      <c r="E140" t="s">
        <v>266</v>
      </c>
      <c r="F140" t="s">
        <v>275</v>
      </c>
      <c r="G140" t="s">
        <v>262</v>
      </c>
      <c r="H140" s="16">
        <v>45789</v>
      </c>
      <c r="I140" s="16">
        <v>45795</v>
      </c>
      <c r="J140" s="15"/>
      <c r="K140" t="s">
        <v>274</v>
      </c>
    </row>
    <row r="141" spans="1:11" customFormat="1">
      <c r="A141" t="s">
        <v>270</v>
      </c>
      <c r="B141" t="s">
        <v>269</v>
      </c>
      <c r="C141" t="s">
        <v>268</v>
      </c>
      <c r="D141" t="s">
        <v>267</v>
      </c>
      <c r="E141" t="s">
        <v>266</v>
      </c>
      <c r="F141" t="s">
        <v>40</v>
      </c>
      <c r="G141" t="s">
        <v>256</v>
      </c>
      <c r="H141" s="16">
        <v>45789</v>
      </c>
      <c r="I141" s="16">
        <v>45789</v>
      </c>
      <c r="J141" s="15"/>
    </row>
    <row r="142" spans="1:11" customFormat="1">
      <c r="A142" t="s">
        <v>270</v>
      </c>
      <c r="B142" t="s">
        <v>269</v>
      </c>
      <c r="C142" t="s">
        <v>268</v>
      </c>
      <c r="D142" t="s">
        <v>267</v>
      </c>
      <c r="E142" t="s">
        <v>266</v>
      </c>
      <c r="F142" t="s">
        <v>273</v>
      </c>
      <c r="G142" t="s">
        <v>272</v>
      </c>
      <c r="H142" s="16">
        <v>45789</v>
      </c>
      <c r="I142" s="16">
        <v>45789</v>
      </c>
      <c r="J142" s="15"/>
    </row>
    <row r="143" spans="1:11" customFormat="1">
      <c r="A143" t="s">
        <v>270</v>
      </c>
      <c r="B143" t="s">
        <v>269</v>
      </c>
      <c r="C143" t="s">
        <v>268</v>
      </c>
      <c r="D143" t="s">
        <v>267</v>
      </c>
      <c r="E143" t="s">
        <v>266</v>
      </c>
      <c r="F143" t="s">
        <v>271</v>
      </c>
      <c r="G143" t="s">
        <v>256</v>
      </c>
      <c r="H143" s="16">
        <v>45789</v>
      </c>
      <c r="I143" s="16">
        <v>45789</v>
      </c>
      <c r="J143" s="15"/>
    </row>
    <row r="144" spans="1:11" customFormat="1">
      <c r="A144" t="s">
        <v>270</v>
      </c>
      <c r="B144" t="s">
        <v>269</v>
      </c>
      <c r="C144" t="s">
        <v>268</v>
      </c>
      <c r="D144" t="s">
        <v>267</v>
      </c>
      <c r="E144" t="s">
        <v>266</v>
      </c>
      <c r="F144" s="17" t="s">
        <v>265</v>
      </c>
      <c r="G144" t="s">
        <v>264</v>
      </c>
      <c r="H144" s="16">
        <v>45660</v>
      </c>
      <c r="I144" s="16">
        <v>45661</v>
      </c>
      <c r="J144" s="15"/>
    </row>
    <row r="145" spans="1:10">
      <c r="A145" s="11" t="s">
        <v>261</v>
      </c>
      <c r="B145" s="11" t="s">
        <v>7</v>
      </c>
      <c r="C145" s="11" t="s">
        <v>260</v>
      </c>
      <c r="D145" s="11" t="s">
        <v>259</v>
      </c>
      <c r="E145" s="11" t="s">
        <v>258</v>
      </c>
      <c r="F145" s="11" t="s">
        <v>263</v>
      </c>
      <c r="G145" s="11" t="s">
        <v>262</v>
      </c>
      <c r="H145" s="13">
        <v>45670</v>
      </c>
      <c r="I145" s="13">
        <v>45670</v>
      </c>
      <c r="J145" s="14">
        <f>I145-H145</f>
        <v>0</v>
      </c>
    </row>
    <row r="146" spans="1:10">
      <c r="A146" s="11" t="s">
        <v>261</v>
      </c>
      <c r="B146" s="11" t="s">
        <v>7</v>
      </c>
      <c r="C146" s="11" t="s">
        <v>260</v>
      </c>
      <c r="D146" s="11" t="s">
        <v>259</v>
      </c>
      <c r="E146" s="11" t="s">
        <v>258</v>
      </c>
      <c r="F146" s="11" t="s">
        <v>257</v>
      </c>
      <c r="G146" s="11" t="s">
        <v>256</v>
      </c>
      <c r="H146" s="13">
        <v>45668</v>
      </c>
      <c r="I146" s="13">
        <v>45669</v>
      </c>
      <c r="J146" s="14">
        <f>I146-H146</f>
        <v>1</v>
      </c>
    </row>
    <row r="147" spans="1:10">
      <c r="H147" s="11"/>
      <c r="I147" s="11"/>
      <c r="J147" s="11"/>
    </row>
    <row r="148" spans="1:10">
      <c r="H148" s="11"/>
      <c r="I148" s="11"/>
      <c r="J148" s="11"/>
    </row>
    <row r="149" spans="1:10">
      <c r="H149" s="11"/>
      <c r="I149" s="11"/>
      <c r="J149" s="11"/>
    </row>
    <row r="150" spans="1:10">
      <c r="H150" s="11"/>
      <c r="I150" s="11"/>
      <c r="J150" s="11"/>
    </row>
    <row r="151" spans="1:10">
      <c r="H151" s="11"/>
      <c r="I151" s="11"/>
      <c r="J151" s="11"/>
    </row>
  </sheetData>
  <autoFilter ref="A1:K146" xr:uid="{F7F97AB8-1FF7-4ABF-8EA8-49E49BE764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015DCC-C2D0-45C6-A59C-64E8F42C1894}">
          <x14:formula1>
            <xm:f>'[ABP_FY''26 Issues v2 (1).xlsx]List'!#REF!</xm:f>
          </x14:formula1>
          <xm:sqref>G1:G19 G32 G117:G146 G152:G1048576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7107-CE60-4992-A849-385098FB3584}">
  <dimension ref="A1:K14"/>
  <sheetViews>
    <sheetView workbookViewId="0">
      <selection activeCell="C107" sqref="C107"/>
    </sheetView>
  </sheetViews>
  <sheetFormatPr defaultRowHeight="14.5"/>
  <cols>
    <col min="5" max="5" width="9.7265625" bestFit="1" customWidth="1"/>
    <col min="6" max="6" width="36.7265625" customWidth="1"/>
    <col min="7" max="7" width="22.7265625" customWidth="1"/>
    <col min="8" max="8" width="24.1796875" customWidth="1"/>
    <col min="9" max="9" width="13.7265625" customWidth="1"/>
    <col min="10" max="10" width="17.7265625" style="16" customWidth="1"/>
  </cols>
  <sheetData>
    <row r="1" spans="1:11" s="59" customFormat="1">
      <c r="A1" s="61" t="s">
        <v>386</v>
      </c>
      <c r="B1" s="61" t="s">
        <v>385</v>
      </c>
      <c r="C1" s="61" t="s">
        <v>384</v>
      </c>
      <c r="D1" s="61" t="s">
        <v>383</v>
      </c>
      <c r="E1" s="61" t="s">
        <v>382</v>
      </c>
      <c r="F1" s="61" t="s">
        <v>381</v>
      </c>
      <c r="G1" s="61" t="s">
        <v>380</v>
      </c>
      <c r="H1" s="60" t="s">
        <v>407</v>
      </c>
      <c r="I1" s="60" t="s">
        <v>378</v>
      </c>
      <c r="J1" s="60" t="s">
        <v>378</v>
      </c>
    </row>
    <row r="2" spans="1:11">
      <c r="A2" s="52">
        <v>7492643</v>
      </c>
      <c r="B2" s="52" t="s">
        <v>28</v>
      </c>
      <c r="C2" s="23" t="s">
        <v>345</v>
      </c>
      <c r="D2" s="23" t="s">
        <v>361</v>
      </c>
      <c r="E2" s="52" t="s">
        <v>406</v>
      </c>
      <c r="F2" s="52" t="s">
        <v>405</v>
      </c>
      <c r="G2" s="23" t="s">
        <v>284</v>
      </c>
      <c r="H2" s="55">
        <v>45690</v>
      </c>
      <c r="I2" s="55">
        <v>45692</v>
      </c>
      <c r="J2" s="52">
        <f>I2-H2</f>
        <v>2</v>
      </c>
      <c r="K2" s="58"/>
    </row>
    <row r="3" spans="1:11">
      <c r="A3" s="52">
        <v>7506896</v>
      </c>
      <c r="B3" s="52" t="s">
        <v>28</v>
      </c>
      <c r="C3" s="23" t="s">
        <v>345</v>
      </c>
      <c r="D3" s="23" t="s">
        <v>361</v>
      </c>
      <c r="E3" s="23" t="s">
        <v>361</v>
      </c>
      <c r="F3" s="52" t="s">
        <v>405</v>
      </c>
      <c r="G3" s="23" t="s">
        <v>284</v>
      </c>
      <c r="H3" s="55">
        <v>45695</v>
      </c>
      <c r="I3" s="55">
        <v>45695</v>
      </c>
      <c r="J3" s="52">
        <f>I3-H3</f>
        <v>0</v>
      </c>
      <c r="K3" s="58"/>
    </row>
    <row r="4" spans="1:11">
      <c r="A4" s="52">
        <v>7527618</v>
      </c>
      <c r="B4" s="52" t="s">
        <v>88</v>
      </c>
      <c r="C4" s="23" t="s">
        <v>345</v>
      </c>
      <c r="D4" s="23" t="s">
        <v>361</v>
      </c>
      <c r="E4" s="52" t="s">
        <v>404</v>
      </c>
      <c r="F4" s="52" t="s">
        <v>403</v>
      </c>
      <c r="G4" s="23" t="s">
        <v>264</v>
      </c>
      <c r="H4" s="55">
        <v>45701</v>
      </c>
      <c r="I4" s="55">
        <v>45706</v>
      </c>
      <c r="J4" s="52">
        <f>I4-H4</f>
        <v>5</v>
      </c>
    </row>
    <row r="5" spans="1:11">
      <c r="A5" s="52">
        <v>7542979</v>
      </c>
      <c r="B5" s="52" t="s">
        <v>28</v>
      </c>
      <c r="C5" s="23" t="s">
        <v>345</v>
      </c>
      <c r="D5" s="23" t="s">
        <v>361</v>
      </c>
      <c r="E5" s="23" t="s">
        <v>361</v>
      </c>
      <c r="F5" s="52" t="s">
        <v>402</v>
      </c>
      <c r="G5" s="23" t="s">
        <v>256</v>
      </c>
      <c r="H5" s="55">
        <v>45705</v>
      </c>
      <c r="I5" s="55">
        <v>45706</v>
      </c>
      <c r="J5" s="52">
        <f>I5-H5</f>
        <v>1</v>
      </c>
    </row>
    <row r="6" spans="1:11">
      <c r="A6" s="52">
        <v>7546336</v>
      </c>
      <c r="B6" s="52" t="s">
        <v>14</v>
      </c>
      <c r="C6" s="23" t="s">
        <v>345</v>
      </c>
      <c r="D6" s="23" t="s">
        <v>361</v>
      </c>
      <c r="E6" s="57" t="s">
        <v>399</v>
      </c>
      <c r="F6" s="52" t="s">
        <v>401</v>
      </c>
      <c r="G6" s="23" t="s">
        <v>272</v>
      </c>
      <c r="H6" s="55">
        <v>45706</v>
      </c>
      <c r="I6" s="55">
        <v>45706</v>
      </c>
      <c r="J6" s="52">
        <f>I6-H6</f>
        <v>0</v>
      </c>
    </row>
    <row r="7" spans="1:11">
      <c r="A7" s="52">
        <v>7548846</v>
      </c>
      <c r="B7" s="52" t="s">
        <v>363</v>
      </c>
      <c r="C7" s="23" t="s">
        <v>345</v>
      </c>
      <c r="D7" s="23" t="s">
        <v>361</v>
      </c>
      <c r="E7" s="57" t="s">
        <v>362</v>
      </c>
      <c r="F7" s="52" t="s">
        <v>400</v>
      </c>
      <c r="G7" s="23" t="s">
        <v>264</v>
      </c>
      <c r="H7" s="55">
        <v>45707</v>
      </c>
      <c r="I7" s="55">
        <v>45707</v>
      </c>
      <c r="J7" s="52">
        <f>I7-H7</f>
        <v>0</v>
      </c>
    </row>
    <row r="8" spans="1:11">
      <c r="A8" s="52">
        <v>7567324</v>
      </c>
      <c r="B8" s="52" t="s">
        <v>14</v>
      </c>
      <c r="C8" s="23" t="s">
        <v>345</v>
      </c>
      <c r="D8" s="23" t="s">
        <v>361</v>
      </c>
      <c r="E8" s="57" t="s">
        <v>399</v>
      </c>
      <c r="F8" s="52" t="s">
        <v>398</v>
      </c>
      <c r="G8" s="23" t="s">
        <v>272</v>
      </c>
      <c r="H8" s="55">
        <v>45712</v>
      </c>
      <c r="I8" s="55">
        <v>45712</v>
      </c>
      <c r="J8" s="52">
        <f>I8-H8</f>
        <v>0</v>
      </c>
    </row>
    <row r="9" spans="1:11">
      <c r="A9" s="56">
        <v>7491653</v>
      </c>
      <c r="B9" s="56" t="s">
        <v>346</v>
      </c>
      <c r="C9" s="23" t="s">
        <v>345</v>
      </c>
      <c r="D9" s="23" t="s">
        <v>344</v>
      </c>
      <c r="E9" s="57" t="s">
        <v>343</v>
      </c>
      <c r="F9" s="56" t="s">
        <v>397</v>
      </c>
      <c r="G9" s="23" t="s">
        <v>256</v>
      </c>
      <c r="H9" s="55">
        <v>45691</v>
      </c>
      <c r="I9" s="55">
        <v>45693</v>
      </c>
      <c r="J9" s="52">
        <f>I9-H9</f>
        <v>2</v>
      </c>
    </row>
    <row r="10" spans="1:11">
      <c r="A10" s="23" t="s">
        <v>396</v>
      </c>
      <c r="B10" s="23" t="s">
        <v>395</v>
      </c>
      <c r="C10" s="23" t="s">
        <v>345</v>
      </c>
      <c r="D10" s="23" t="s">
        <v>361</v>
      </c>
      <c r="E10" s="23" t="s">
        <v>394</v>
      </c>
      <c r="F10" s="54" t="s">
        <v>393</v>
      </c>
      <c r="G10" s="23" t="s">
        <v>284</v>
      </c>
      <c r="H10" s="53">
        <v>45700</v>
      </c>
      <c r="I10" s="53">
        <v>45700</v>
      </c>
      <c r="J10" s="52">
        <f>I10-H10</f>
        <v>0</v>
      </c>
    </row>
    <row r="11" spans="1:11">
      <c r="A11" s="23" t="s">
        <v>261</v>
      </c>
      <c r="B11" s="23" t="s">
        <v>7</v>
      </c>
      <c r="C11" s="23" t="s">
        <v>392</v>
      </c>
      <c r="D11" s="23" t="s">
        <v>259</v>
      </c>
      <c r="E11" s="23" t="s">
        <v>391</v>
      </c>
      <c r="F11" s="23" t="s">
        <v>162</v>
      </c>
      <c r="G11" s="23" t="s">
        <v>390</v>
      </c>
      <c r="H11" s="53">
        <v>45713</v>
      </c>
      <c r="I11" s="53">
        <v>45714</v>
      </c>
      <c r="J11" s="52">
        <f>I11-H11</f>
        <v>1</v>
      </c>
    </row>
    <row r="12" spans="1:11">
      <c r="A12" s="11" t="s">
        <v>389</v>
      </c>
      <c r="B12" s="11" t="s">
        <v>269</v>
      </c>
      <c r="C12" s="11" t="s">
        <v>388</v>
      </c>
      <c r="D12" s="11" t="s">
        <v>267</v>
      </c>
      <c r="E12" s="11" t="s">
        <v>387</v>
      </c>
      <c r="F12" s="11" t="s">
        <v>320</v>
      </c>
      <c r="G12" s="11" t="s">
        <v>272</v>
      </c>
      <c r="H12" s="13">
        <v>45714</v>
      </c>
      <c r="I12" s="13">
        <v>45714</v>
      </c>
      <c r="J12" s="52">
        <f>I12-H12</f>
        <v>0</v>
      </c>
      <c r="K12" s="11"/>
    </row>
    <row r="13" spans="1:11">
      <c r="A13" s="51"/>
      <c r="B13" s="51"/>
      <c r="C13" s="51"/>
      <c r="D13" s="51"/>
      <c r="E13" s="51"/>
      <c r="F13" s="51"/>
      <c r="G13" s="51"/>
      <c r="H13" s="51"/>
      <c r="I13" s="51"/>
      <c r="J13" s="50"/>
    </row>
    <row r="14" spans="1:11">
      <c r="A14" s="23"/>
      <c r="B14" s="23"/>
      <c r="C14" s="23"/>
      <c r="D14" s="23"/>
      <c r="E14" s="23"/>
      <c r="F14" s="23"/>
      <c r="G14" s="23"/>
      <c r="H14" s="23"/>
      <c r="I14" s="23"/>
      <c r="J14" s="49"/>
    </row>
  </sheetData>
  <autoFilter ref="A1:M1" xr:uid="{1A3300F0-7119-47D6-AD24-2FA2C0E657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8DFF5-8EC8-451F-9DDE-4281527DE7FE}">
          <x14:formula1>
            <xm:f>'[ABP_FY''26 Issues v2 (1).xlsx]List'!#REF!</xm:f>
          </x14:formula1>
          <xm:sqref>G1:G10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7145-DBA8-430D-BCB0-F42F47067B57}">
  <dimension ref="A1:K147"/>
  <sheetViews>
    <sheetView workbookViewId="0">
      <pane xSplit="11" ySplit="1" topLeftCell="L2" activePane="bottomRight" state="frozen"/>
      <selection sqref="A1:XFD1048576"/>
      <selection pane="topRight" sqref="A1:XFD1048576"/>
      <selection pane="bottomLeft" sqref="A1:XFD1048576"/>
      <selection pane="bottomRight" activeCell="C107" sqref="C107"/>
    </sheetView>
  </sheetViews>
  <sheetFormatPr defaultColWidth="9.1796875" defaultRowHeight="16.5" customHeight="1"/>
  <cols>
    <col min="1" max="1" width="9.1796875" style="11"/>
    <col min="2" max="2" width="5.7265625" style="11" customWidth="1"/>
    <col min="3" max="3" width="9.1796875" style="11"/>
    <col min="4" max="4" width="16.7265625" style="11" customWidth="1"/>
    <col min="5" max="5" width="19.7265625" style="11" customWidth="1"/>
    <col min="6" max="6" width="18" style="11" customWidth="1"/>
    <col min="7" max="7" width="26.54296875" style="11" customWidth="1"/>
    <col min="8" max="8" width="8.81640625" style="63" customWidth="1"/>
    <col min="9" max="9" width="8.54296875" style="13" customWidth="1"/>
    <col min="10" max="10" width="10.7265625" style="11" customWidth="1"/>
    <col min="11" max="11" width="36.54296875" style="62" bestFit="1" customWidth="1"/>
    <col min="12" max="16384" width="9.1796875" style="11"/>
  </cols>
  <sheetData>
    <row r="1" spans="1:11" s="43" customFormat="1" ht="16.5" customHeight="1">
      <c r="A1" s="107" t="s">
        <v>386</v>
      </c>
      <c r="B1" s="107" t="s">
        <v>385</v>
      </c>
      <c r="C1" s="107" t="s">
        <v>384</v>
      </c>
      <c r="D1" s="107" t="s">
        <v>383</v>
      </c>
      <c r="E1" s="107" t="s">
        <v>382</v>
      </c>
      <c r="F1" s="107" t="s">
        <v>381</v>
      </c>
      <c r="G1" s="107" t="s">
        <v>380</v>
      </c>
      <c r="H1" s="106" t="s">
        <v>379</v>
      </c>
      <c r="I1" s="46" t="s">
        <v>378</v>
      </c>
      <c r="J1" s="48" t="s">
        <v>377</v>
      </c>
      <c r="K1" s="105" t="s">
        <v>252</v>
      </c>
    </row>
    <row r="2" spans="1:11" ht="16.5" customHeight="1">
      <c r="A2" s="68">
        <v>7626926</v>
      </c>
      <c r="B2" s="68" t="s">
        <v>55</v>
      </c>
      <c r="C2" s="68" t="s">
        <v>565</v>
      </c>
      <c r="D2" s="68" t="s">
        <v>536</v>
      </c>
      <c r="E2" s="68"/>
      <c r="F2" s="68" t="s">
        <v>564</v>
      </c>
      <c r="G2" s="95" t="s">
        <v>272</v>
      </c>
      <c r="H2" s="93">
        <v>45729</v>
      </c>
      <c r="I2" s="93">
        <v>45729</v>
      </c>
      <c r="J2" s="20">
        <f>I2-H2</f>
        <v>0</v>
      </c>
      <c r="K2" s="11" t="s">
        <v>563</v>
      </c>
    </row>
    <row r="3" spans="1:11" ht="16.5" customHeight="1">
      <c r="A3" s="68">
        <v>7653866</v>
      </c>
      <c r="B3" s="68" t="s">
        <v>341</v>
      </c>
      <c r="C3" s="68" t="s">
        <v>345</v>
      </c>
      <c r="D3" s="68" t="s">
        <v>267</v>
      </c>
      <c r="E3" s="68" t="s">
        <v>562</v>
      </c>
      <c r="F3" s="68" t="s">
        <v>410</v>
      </c>
      <c r="G3" s="68" t="s">
        <v>264</v>
      </c>
      <c r="H3" s="93">
        <v>45737</v>
      </c>
      <c r="I3" s="41">
        <v>45740</v>
      </c>
      <c r="J3" s="20">
        <f>I3-H3</f>
        <v>3</v>
      </c>
      <c r="K3" s="11"/>
    </row>
    <row r="4" spans="1:11" ht="16.5" customHeight="1">
      <c r="A4" s="98">
        <v>7655481</v>
      </c>
      <c r="B4" s="98" t="s">
        <v>341</v>
      </c>
      <c r="C4" s="98" t="s">
        <v>561</v>
      </c>
      <c r="D4" s="98" t="s">
        <v>267</v>
      </c>
      <c r="E4" s="98" t="s">
        <v>322</v>
      </c>
      <c r="F4" s="98" t="s">
        <v>560</v>
      </c>
      <c r="G4" s="98" t="s">
        <v>256</v>
      </c>
      <c r="H4" s="104">
        <v>45737</v>
      </c>
      <c r="I4" s="96">
        <v>45738</v>
      </c>
      <c r="J4" s="88">
        <f>I4-H4</f>
        <v>1</v>
      </c>
      <c r="K4" s="11"/>
    </row>
    <row r="5" spans="1:11" ht="61.5" customHeight="1">
      <c r="A5" s="79">
        <v>7688315</v>
      </c>
      <c r="B5" s="68" t="s">
        <v>519</v>
      </c>
      <c r="C5" s="68" t="s">
        <v>345</v>
      </c>
      <c r="D5" s="68" t="s">
        <v>492</v>
      </c>
      <c r="E5" s="86" t="s">
        <v>558</v>
      </c>
      <c r="F5" s="79" t="s">
        <v>559</v>
      </c>
      <c r="G5" s="68" t="s">
        <v>256</v>
      </c>
      <c r="H5" s="84">
        <v>45747</v>
      </c>
      <c r="I5" s="102">
        <v>45748</v>
      </c>
      <c r="J5" s="20">
        <f>I5-H5</f>
        <v>1</v>
      </c>
      <c r="K5" s="68" t="s">
        <v>51</v>
      </c>
    </row>
    <row r="6" spans="1:11" ht="49.5" customHeight="1">
      <c r="A6" s="79">
        <v>7688315</v>
      </c>
      <c r="B6" s="68" t="s">
        <v>519</v>
      </c>
      <c r="C6" s="68" t="s">
        <v>345</v>
      </c>
      <c r="D6" s="68" t="s">
        <v>492</v>
      </c>
      <c r="E6" s="86" t="s">
        <v>558</v>
      </c>
      <c r="F6" s="103" t="s">
        <v>140</v>
      </c>
      <c r="G6" s="68" t="s">
        <v>284</v>
      </c>
      <c r="H6" s="84">
        <v>45747</v>
      </c>
      <c r="I6" s="102">
        <v>45748</v>
      </c>
      <c r="J6" s="20">
        <f>I6-H6</f>
        <v>1</v>
      </c>
      <c r="K6" s="68" t="s">
        <v>557</v>
      </c>
    </row>
    <row r="7" spans="1:11" ht="16.5" customHeight="1">
      <c r="A7" s="82">
        <v>7655481</v>
      </c>
      <c r="B7" s="81" t="s">
        <v>341</v>
      </c>
      <c r="C7" s="81" t="s">
        <v>332</v>
      </c>
      <c r="D7" s="81" t="s">
        <v>267</v>
      </c>
      <c r="E7" s="101" t="s">
        <v>322</v>
      </c>
      <c r="F7" s="82" t="s">
        <v>556</v>
      </c>
      <c r="G7" s="81" t="s">
        <v>256</v>
      </c>
      <c r="H7" s="100">
        <v>45737</v>
      </c>
      <c r="I7" s="99">
        <v>45738</v>
      </c>
      <c r="J7" s="80">
        <f>I7-H7</f>
        <v>1</v>
      </c>
      <c r="K7" s="11"/>
    </row>
    <row r="8" spans="1:11" ht="16.5" customHeight="1">
      <c r="A8" s="79" t="s">
        <v>261</v>
      </c>
      <c r="B8" s="98" t="s">
        <v>341</v>
      </c>
      <c r="C8" s="98" t="s">
        <v>388</v>
      </c>
      <c r="D8" s="98" t="s">
        <v>267</v>
      </c>
      <c r="E8" s="98" t="s">
        <v>387</v>
      </c>
      <c r="F8" s="98" t="s">
        <v>555</v>
      </c>
      <c r="G8" s="98" t="s">
        <v>262</v>
      </c>
      <c r="H8" s="97">
        <v>45747</v>
      </c>
      <c r="I8" s="96">
        <v>45748</v>
      </c>
      <c r="J8" s="88">
        <f>I8-H8</f>
        <v>1</v>
      </c>
      <c r="K8" s="11"/>
    </row>
    <row r="9" spans="1:11" ht="16.5" customHeight="1">
      <c r="A9" s="79" t="s">
        <v>261</v>
      </c>
      <c r="B9" s="68" t="s">
        <v>341</v>
      </c>
      <c r="C9" s="68" t="s">
        <v>332</v>
      </c>
      <c r="D9" s="68" t="s">
        <v>267</v>
      </c>
      <c r="E9" s="68" t="s">
        <v>322</v>
      </c>
      <c r="F9" s="68" t="s">
        <v>444</v>
      </c>
      <c r="G9" s="68" t="s">
        <v>264</v>
      </c>
      <c r="H9" s="93">
        <v>45737</v>
      </c>
      <c r="I9" s="41">
        <v>45742</v>
      </c>
      <c r="J9" s="20">
        <f>I9-H9</f>
        <v>5</v>
      </c>
      <c r="K9" s="62" t="s">
        <v>554</v>
      </c>
    </row>
    <row r="10" spans="1:11" ht="16.5" customHeight="1">
      <c r="A10" s="79" t="s">
        <v>261</v>
      </c>
      <c r="B10" s="51" t="s">
        <v>55</v>
      </c>
      <c r="C10" s="51"/>
      <c r="D10" s="51" t="s">
        <v>536</v>
      </c>
      <c r="E10" s="51" t="s">
        <v>539</v>
      </c>
      <c r="F10" s="95" t="s">
        <v>553</v>
      </c>
      <c r="G10" s="95" t="s">
        <v>272</v>
      </c>
      <c r="H10" s="50">
        <v>45744</v>
      </c>
      <c r="I10" s="50">
        <v>45744</v>
      </c>
      <c r="J10" s="80">
        <f>I10-H10</f>
        <v>0</v>
      </c>
      <c r="K10" t="s">
        <v>552</v>
      </c>
    </row>
    <row r="11" spans="1:11" ht="16.5" customHeight="1">
      <c r="A11" s="79" t="s">
        <v>261</v>
      </c>
      <c r="B11" s="23" t="s">
        <v>55</v>
      </c>
      <c r="C11" s="23"/>
      <c r="D11" s="23" t="s">
        <v>536</v>
      </c>
      <c r="E11" s="23" t="s">
        <v>539</v>
      </c>
      <c r="F11" s="94" t="s">
        <v>142</v>
      </c>
      <c r="G11" s="68" t="s">
        <v>284</v>
      </c>
      <c r="H11" s="49">
        <v>45744</v>
      </c>
      <c r="I11" s="49">
        <v>45744</v>
      </c>
      <c r="J11" s="20">
        <f>I11-H11</f>
        <v>0</v>
      </c>
      <c r="K11" s="11" t="s">
        <v>141</v>
      </c>
    </row>
    <row r="12" spans="1:11" ht="16.5" customHeight="1">
      <c r="A12" s="79" t="s">
        <v>261</v>
      </c>
      <c r="B12" s="23" t="s">
        <v>55</v>
      </c>
      <c r="C12" s="23"/>
      <c r="D12" s="23" t="s">
        <v>536</v>
      </c>
      <c r="E12" s="23" t="s">
        <v>539</v>
      </c>
      <c r="F12" s="94" t="s">
        <v>227</v>
      </c>
      <c r="G12" s="91" t="s">
        <v>272</v>
      </c>
      <c r="H12" s="49">
        <v>45744</v>
      </c>
      <c r="I12" s="49">
        <v>45744</v>
      </c>
      <c r="J12" s="20">
        <f>I12-H12</f>
        <v>0</v>
      </c>
      <c r="K12" s="11" t="s">
        <v>551</v>
      </c>
    </row>
    <row r="13" spans="1:11" ht="16.5" customHeight="1">
      <c r="A13" s="79" t="s">
        <v>261</v>
      </c>
      <c r="B13" s="23" t="s">
        <v>55</v>
      </c>
      <c r="C13" s="23"/>
      <c r="D13" s="23" t="s">
        <v>536</v>
      </c>
      <c r="E13" s="23" t="s">
        <v>539</v>
      </c>
      <c r="F13" s="94" t="s">
        <v>550</v>
      </c>
      <c r="G13" s="68" t="s">
        <v>256</v>
      </c>
      <c r="H13" s="93">
        <v>45743</v>
      </c>
      <c r="I13" s="93">
        <v>45743</v>
      </c>
      <c r="J13" s="20">
        <f>I13-H13</f>
        <v>0</v>
      </c>
      <c r="K13" s="11" t="s">
        <v>549</v>
      </c>
    </row>
    <row r="14" spans="1:11" ht="16.5" customHeight="1">
      <c r="A14" s="79" t="s">
        <v>261</v>
      </c>
      <c r="B14" s="23" t="s">
        <v>55</v>
      </c>
      <c r="C14" s="23"/>
      <c r="D14" s="23" t="s">
        <v>536</v>
      </c>
      <c r="E14" s="23" t="s">
        <v>539</v>
      </c>
      <c r="F14" s="92" t="s">
        <v>548</v>
      </c>
      <c r="G14" s="91" t="s">
        <v>272</v>
      </c>
      <c r="H14" s="87">
        <v>45733</v>
      </c>
      <c r="I14" s="41">
        <v>45741</v>
      </c>
      <c r="J14" s="20">
        <f>I14-H14</f>
        <v>8</v>
      </c>
      <c r="K14" s="62" t="s">
        <v>547</v>
      </c>
    </row>
    <row r="15" spans="1:11" ht="16.5" customHeight="1">
      <c r="A15" s="79" t="s">
        <v>261</v>
      </c>
      <c r="B15" s="23" t="s">
        <v>55</v>
      </c>
      <c r="C15" s="23"/>
      <c r="D15" s="23" t="s">
        <v>536</v>
      </c>
      <c r="E15" s="23" t="s">
        <v>539</v>
      </c>
      <c r="F15" s="90" t="s">
        <v>546</v>
      </c>
      <c r="G15" s="20" t="s">
        <v>272</v>
      </c>
      <c r="H15" s="87">
        <v>45741</v>
      </c>
      <c r="I15" s="41">
        <v>45742</v>
      </c>
      <c r="J15" s="20">
        <f>I15-H15</f>
        <v>1</v>
      </c>
      <c r="K15" s="62" t="s">
        <v>545</v>
      </c>
    </row>
    <row r="16" spans="1:11" ht="16.5" customHeight="1">
      <c r="A16" s="79" t="s">
        <v>261</v>
      </c>
      <c r="B16" s="23" t="s">
        <v>55</v>
      </c>
      <c r="C16" s="23"/>
      <c r="D16" s="23" t="s">
        <v>536</v>
      </c>
      <c r="E16" s="23" t="s">
        <v>539</v>
      </c>
      <c r="F16" s="90" t="s">
        <v>544</v>
      </c>
      <c r="G16" s="20" t="s">
        <v>256</v>
      </c>
      <c r="H16" s="87">
        <v>45740</v>
      </c>
      <c r="I16" s="87">
        <v>45740</v>
      </c>
      <c r="J16" s="20">
        <f>I16-H16</f>
        <v>0</v>
      </c>
      <c r="K16" s="62" t="s">
        <v>543</v>
      </c>
    </row>
    <row r="17" spans="1:11" ht="16.5" customHeight="1">
      <c r="A17" s="79" t="s">
        <v>261</v>
      </c>
      <c r="B17" s="11" t="s">
        <v>55</v>
      </c>
      <c r="D17" s="23" t="s">
        <v>536</v>
      </c>
      <c r="E17" s="11" t="s">
        <v>542</v>
      </c>
      <c r="F17" s="62" t="s">
        <v>143</v>
      </c>
      <c r="G17" s="68" t="s">
        <v>284</v>
      </c>
      <c r="H17" s="87">
        <v>45729</v>
      </c>
      <c r="I17" s="41">
        <v>45729</v>
      </c>
      <c r="J17" s="20">
        <f>I17-H17</f>
        <v>0</v>
      </c>
      <c r="K17" s="11" t="s">
        <v>541</v>
      </c>
    </row>
    <row r="18" spans="1:11" ht="16.5" customHeight="1">
      <c r="A18" s="79" t="s">
        <v>261</v>
      </c>
      <c r="B18" s="23" t="s">
        <v>55</v>
      </c>
      <c r="C18" s="23"/>
      <c r="D18" s="23" t="s">
        <v>536</v>
      </c>
      <c r="E18" s="23" t="s">
        <v>539</v>
      </c>
      <c r="F18" s="90" t="s">
        <v>57</v>
      </c>
      <c r="G18" s="20" t="s">
        <v>256</v>
      </c>
      <c r="H18" s="87">
        <v>45735</v>
      </c>
      <c r="I18" s="87">
        <v>45735</v>
      </c>
      <c r="J18" s="20">
        <f>I18-H18</f>
        <v>0</v>
      </c>
      <c r="K18" s="62" t="s">
        <v>540</v>
      </c>
    </row>
    <row r="19" spans="1:11" ht="16.5" customHeight="1">
      <c r="A19" s="79" t="s">
        <v>261</v>
      </c>
      <c r="B19" s="23" t="s">
        <v>55</v>
      </c>
      <c r="C19" s="23"/>
      <c r="D19" s="23" t="s">
        <v>536</v>
      </c>
      <c r="E19" s="23" t="s">
        <v>539</v>
      </c>
      <c r="F19" s="90" t="s">
        <v>538</v>
      </c>
      <c r="G19" s="20" t="s">
        <v>272</v>
      </c>
      <c r="H19" s="87">
        <v>45729</v>
      </c>
      <c r="I19" s="41">
        <v>45729</v>
      </c>
      <c r="J19" s="20">
        <f>I19-H19</f>
        <v>0</v>
      </c>
      <c r="K19" s="11" t="s">
        <v>537</v>
      </c>
    </row>
    <row r="20" spans="1:11" ht="16.5" customHeight="1">
      <c r="A20" s="79" t="s">
        <v>261</v>
      </c>
      <c r="B20" s="11" t="s">
        <v>55</v>
      </c>
      <c r="D20" s="11" t="s">
        <v>536</v>
      </c>
      <c r="E20" s="11" t="s">
        <v>535</v>
      </c>
      <c r="F20" s="11" t="s">
        <v>534</v>
      </c>
      <c r="G20" s="68" t="s">
        <v>272</v>
      </c>
      <c r="H20" s="63">
        <v>45747</v>
      </c>
      <c r="I20" s="13">
        <v>45748</v>
      </c>
      <c r="J20" s="20">
        <f>I20-H20</f>
        <v>1</v>
      </c>
      <c r="K20" s="62" t="s">
        <v>533</v>
      </c>
    </row>
    <row r="21" spans="1:11" ht="16.5" customHeight="1">
      <c r="A21" s="79" t="s">
        <v>261</v>
      </c>
      <c r="B21" s="20" t="s">
        <v>341</v>
      </c>
      <c r="C21" s="20" t="s">
        <v>323</v>
      </c>
      <c r="D21" s="20" t="s">
        <v>267</v>
      </c>
      <c r="E21" s="20" t="s">
        <v>322</v>
      </c>
      <c r="F21" s="68" t="s">
        <v>532</v>
      </c>
      <c r="G21" s="20" t="s">
        <v>272</v>
      </c>
      <c r="H21" s="87">
        <v>45741</v>
      </c>
      <c r="I21" s="41">
        <v>45743</v>
      </c>
      <c r="J21" s="88">
        <f>I21-H21</f>
        <v>2</v>
      </c>
      <c r="K21" s="11"/>
    </row>
    <row r="22" spans="1:11" ht="16.5" customHeight="1">
      <c r="A22" s="79" t="s">
        <v>261</v>
      </c>
      <c r="B22" s="11" t="s">
        <v>341</v>
      </c>
      <c r="C22" s="11" t="s">
        <v>530</v>
      </c>
      <c r="D22" s="11" t="s">
        <v>267</v>
      </c>
      <c r="E22" s="11" t="s">
        <v>527</v>
      </c>
      <c r="F22" s="62" t="s">
        <v>531</v>
      </c>
      <c r="G22" s="11" t="s">
        <v>272</v>
      </c>
      <c r="H22" s="63">
        <v>45736</v>
      </c>
      <c r="I22" s="13">
        <v>45736</v>
      </c>
      <c r="J22" s="88">
        <f>I22-H22</f>
        <v>0</v>
      </c>
      <c r="K22" s="11" t="s">
        <v>525</v>
      </c>
    </row>
    <row r="23" spans="1:11" ht="16.5" customHeight="1">
      <c r="A23" s="79" t="s">
        <v>261</v>
      </c>
      <c r="B23" s="11" t="s">
        <v>341</v>
      </c>
      <c r="C23" s="11" t="s">
        <v>530</v>
      </c>
      <c r="D23" s="11" t="s">
        <v>267</v>
      </c>
      <c r="E23" s="11" t="s">
        <v>527</v>
      </c>
      <c r="F23" s="62" t="s">
        <v>529</v>
      </c>
      <c r="G23" s="11" t="s">
        <v>272</v>
      </c>
      <c r="H23" s="63">
        <v>45736</v>
      </c>
      <c r="I23" s="13">
        <v>45736</v>
      </c>
      <c r="J23" s="88">
        <f>I23-H23</f>
        <v>0</v>
      </c>
      <c r="K23" s="11" t="s">
        <v>525</v>
      </c>
    </row>
    <row r="24" spans="1:11" ht="16.5" customHeight="1">
      <c r="A24" s="89" t="s">
        <v>261</v>
      </c>
      <c r="B24" s="11" t="s">
        <v>269</v>
      </c>
      <c r="C24" s="11" t="s">
        <v>528</v>
      </c>
      <c r="D24" s="11" t="s">
        <v>267</v>
      </c>
      <c r="E24" s="11" t="s">
        <v>527</v>
      </c>
      <c r="F24" s="62" t="s">
        <v>526</v>
      </c>
      <c r="G24" s="11" t="s">
        <v>272</v>
      </c>
      <c r="H24" s="63">
        <v>45740</v>
      </c>
      <c r="I24" s="63">
        <v>45740</v>
      </c>
      <c r="J24" s="88">
        <f>I24-H24</f>
        <v>0</v>
      </c>
      <c r="K24" s="11" t="s">
        <v>525</v>
      </c>
    </row>
    <row r="25" spans="1:11" ht="16.5" customHeight="1">
      <c r="A25" s="79" t="s">
        <v>261</v>
      </c>
      <c r="B25" s="68" t="s">
        <v>519</v>
      </c>
      <c r="C25" s="68" t="s">
        <v>370</v>
      </c>
      <c r="D25" s="68" t="s">
        <v>492</v>
      </c>
      <c r="E25" s="86" t="s">
        <v>520</v>
      </c>
      <c r="F25" s="79" t="s">
        <v>70</v>
      </c>
      <c r="G25" s="68" t="s">
        <v>256</v>
      </c>
      <c r="H25" s="87">
        <v>45740</v>
      </c>
      <c r="I25" s="87">
        <v>45740</v>
      </c>
      <c r="J25" s="20">
        <f>I25-H25</f>
        <v>0</v>
      </c>
      <c r="K25" s="83" t="s">
        <v>524</v>
      </c>
    </row>
    <row r="26" spans="1:11" ht="16.5" customHeight="1">
      <c r="A26" s="52">
        <v>7667195</v>
      </c>
      <c r="B26" s="68" t="s">
        <v>519</v>
      </c>
      <c r="C26" s="68" t="s">
        <v>370</v>
      </c>
      <c r="D26" s="68" t="s">
        <v>492</v>
      </c>
      <c r="E26" s="86" t="s">
        <v>520</v>
      </c>
      <c r="F26" s="79" t="s">
        <v>523</v>
      </c>
      <c r="G26" s="68" t="s">
        <v>264</v>
      </c>
      <c r="H26" s="87">
        <v>45741</v>
      </c>
      <c r="I26" s="87">
        <v>45741</v>
      </c>
      <c r="J26" s="20">
        <f>I26-H26</f>
        <v>0</v>
      </c>
      <c r="K26" s="83" t="s">
        <v>522</v>
      </c>
    </row>
    <row r="27" spans="1:11" ht="16.5" customHeight="1">
      <c r="A27" s="79" t="s">
        <v>261</v>
      </c>
      <c r="B27" s="68" t="s">
        <v>519</v>
      </c>
      <c r="C27" s="68" t="s">
        <v>370</v>
      </c>
      <c r="D27" s="68" t="s">
        <v>492</v>
      </c>
      <c r="E27" s="86" t="s">
        <v>520</v>
      </c>
      <c r="F27" s="79" t="s">
        <v>178</v>
      </c>
      <c r="G27" s="20" t="s">
        <v>272</v>
      </c>
      <c r="H27" s="87">
        <v>45743</v>
      </c>
      <c r="I27" s="87">
        <v>45743</v>
      </c>
      <c r="J27" s="20">
        <f>I27-H27</f>
        <v>0</v>
      </c>
      <c r="K27" s="83" t="s">
        <v>521</v>
      </c>
    </row>
    <row r="28" spans="1:11" ht="16.5" customHeight="1">
      <c r="A28" s="79" t="s">
        <v>261</v>
      </c>
      <c r="B28" s="68" t="s">
        <v>519</v>
      </c>
      <c r="C28" s="68" t="s">
        <v>370</v>
      </c>
      <c r="D28" s="68" t="s">
        <v>492</v>
      </c>
      <c r="E28" s="86" t="s">
        <v>520</v>
      </c>
      <c r="F28" s="79" t="s">
        <v>175</v>
      </c>
      <c r="G28" s="20" t="s">
        <v>272</v>
      </c>
      <c r="H28" s="87">
        <v>45743</v>
      </c>
      <c r="I28" s="87">
        <v>45743</v>
      </c>
      <c r="J28" s="20">
        <f>I28-H28</f>
        <v>0</v>
      </c>
      <c r="K28" s="83" t="s">
        <v>174</v>
      </c>
    </row>
    <row r="29" spans="1:11" ht="16.5" customHeight="1">
      <c r="A29" s="79" t="s">
        <v>261</v>
      </c>
      <c r="B29" s="68" t="s">
        <v>519</v>
      </c>
      <c r="C29" s="68" t="s">
        <v>293</v>
      </c>
      <c r="D29" s="68" t="s">
        <v>492</v>
      </c>
      <c r="E29" s="86" t="s">
        <v>518</v>
      </c>
      <c r="F29" s="85" t="s">
        <v>194</v>
      </c>
      <c r="G29" s="68" t="s">
        <v>272</v>
      </c>
      <c r="H29" s="84">
        <v>45740</v>
      </c>
      <c r="I29" s="84">
        <v>45740</v>
      </c>
      <c r="J29" s="20">
        <f>I29-H29</f>
        <v>0</v>
      </c>
      <c r="K29" s="83" t="s">
        <v>517</v>
      </c>
    </row>
    <row r="30" spans="1:11" ht="16.5" customHeight="1">
      <c r="A30" s="82" t="s">
        <v>261</v>
      </c>
      <c r="B30" s="11" t="s">
        <v>514</v>
      </c>
      <c r="C30" s="11" t="s">
        <v>293</v>
      </c>
      <c r="D30" s="11" t="s">
        <v>513</v>
      </c>
      <c r="E30" s="11" t="s">
        <v>516</v>
      </c>
      <c r="F30" s="11" t="s">
        <v>515</v>
      </c>
      <c r="G30" s="81" t="s">
        <v>262</v>
      </c>
      <c r="H30" s="63">
        <v>45741</v>
      </c>
      <c r="I30" s="13">
        <v>45741</v>
      </c>
      <c r="J30" s="80">
        <f>I30-H30</f>
        <v>0</v>
      </c>
    </row>
    <row r="31" spans="1:11" ht="16.5" customHeight="1">
      <c r="A31" s="79" t="s">
        <v>261</v>
      </c>
      <c r="B31" s="11" t="s">
        <v>514</v>
      </c>
      <c r="C31" s="11" t="s">
        <v>370</v>
      </c>
      <c r="D31" s="11" t="s">
        <v>513</v>
      </c>
      <c r="E31" s="11" t="s">
        <v>512</v>
      </c>
      <c r="F31" s="17" t="s">
        <v>511</v>
      </c>
      <c r="G31" s="68" t="s">
        <v>272</v>
      </c>
      <c r="H31" s="63">
        <v>45741</v>
      </c>
      <c r="I31" s="13">
        <v>45744</v>
      </c>
      <c r="J31" s="20">
        <v>1</v>
      </c>
      <c r="K31" s="62" t="s">
        <v>510</v>
      </c>
    </row>
    <row r="32" spans="1:11" ht="16.5" customHeight="1">
      <c r="A32" s="37">
        <v>7598657</v>
      </c>
      <c r="B32" s="36" t="s">
        <v>88</v>
      </c>
      <c r="C32" s="36" t="s">
        <v>88</v>
      </c>
      <c r="D32" s="23" t="s">
        <v>492</v>
      </c>
      <c r="E32" s="36" t="s">
        <v>509</v>
      </c>
      <c r="F32" s="36" t="s">
        <v>508</v>
      </c>
      <c r="G32" t="s">
        <v>264</v>
      </c>
      <c r="H32" s="35">
        <v>45721</v>
      </c>
      <c r="I32" s="35">
        <v>45740</v>
      </c>
      <c r="J32" s="36">
        <v>19.2</v>
      </c>
      <c r="K32" s="62" t="s">
        <v>507</v>
      </c>
    </row>
    <row r="33" spans="1:11" ht="16.5" customHeight="1">
      <c r="A33" s="37">
        <v>7608303</v>
      </c>
      <c r="B33" s="36" t="s">
        <v>26</v>
      </c>
      <c r="C33" s="23" t="s">
        <v>345</v>
      </c>
      <c r="D33" s="23" t="s">
        <v>361</v>
      </c>
      <c r="E33" s="36" t="s">
        <v>361</v>
      </c>
      <c r="F33" s="36" t="s">
        <v>506</v>
      </c>
      <c r="G33" t="s">
        <v>284</v>
      </c>
      <c r="H33" s="35">
        <v>45723</v>
      </c>
      <c r="I33" s="35">
        <v>45727</v>
      </c>
      <c r="J33" s="36">
        <v>4.0999999999999996</v>
      </c>
      <c r="K33" s="62" t="s">
        <v>501</v>
      </c>
    </row>
    <row r="34" spans="1:11" ht="16.5" customHeight="1">
      <c r="A34" s="37">
        <v>7625068</v>
      </c>
      <c r="B34" s="39" t="s">
        <v>88</v>
      </c>
      <c r="C34" s="36" t="s">
        <v>88</v>
      </c>
      <c r="D34" t="s">
        <v>492</v>
      </c>
      <c r="E34" s="36" t="s">
        <v>404</v>
      </c>
      <c r="F34" s="36" t="s">
        <v>505</v>
      </c>
      <c r="G34" t="s">
        <v>262</v>
      </c>
      <c r="H34" s="35">
        <v>45728</v>
      </c>
      <c r="I34" s="35">
        <v>45729</v>
      </c>
      <c r="J34" s="36">
        <v>0.8</v>
      </c>
      <c r="K34" s="62" t="s">
        <v>501</v>
      </c>
    </row>
    <row r="35" spans="1:11" ht="16.5" customHeight="1">
      <c r="A35" s="37">
        <v>7625203</v>
      </c>
      <c r="B35" s="36" t="s">
        <v>88</v>
      </c>
      <c r="C35" s="36" t="s">
        <v>88</v>
      </c>
      <c r="D35" t="s">
        <v>492</v>
      </c>
      <c r="E35" s="36" t="s">
        <v>404</v>
      </c>
      <c r="F35" s="36" t="s">
        <v>504</v>
      </c>
      <c r="G35" t="s">
        <v>262</v>
      </c>
      <c r="H35" s="35">
        <v>45728</v>
      </c>
      <c r="I35" s="35">
        <v>45729</v>
      </c>
      <c r="J35" s="36">
        <v>0.8</v>
      </c>
      <c r="K35" s="62" t="s">
        <v>501</v>
      </c>
    </row>
    <row r="36" spans="1:11" ht="16.5" customHeight="1">
      <c r="A36" s="37">
        <v>7627223</v>
      </c>
      <c r="B36" s="36" t="s">
        <v>88</v>
      </c>
      <c r="C36" s="36" t="s">
        <v>88</v>
      </c>
      <c r="D36" t="s">
        <v>492</v>
      </c>
      <c r="E36" s="36" t="s">
        <v>503</v>
      </c>
      <c r="F36" s="36" t="s">
        <v>502</v>
      </c>
      <c r="G36" t="s">
        <v>262</v>
      </c>
      <c r="H36" s="35">
        <v>45729</v>
      </c>
      <c r="I36" s="35">
        <v>45731</v>
      </c>
      <c r="J36" s="36">
        <v>2</v>
      </c>
      <c r="K36" s="62" t="s">
        <v>501</v>
      </c>
    </row>
    <row r="37" spans="1:11" ht="16.5" customHeight="1">
      <c r="A37" s="37">
        <v>7628603</v>
      </c>
      <c r="B37" s="36" t="s">
        <v>88</v>
      </c>
      <c r="C37" s="36" t="s">
        <v>88</v>
      </c>
      <c r="D37" t="s">
        <v>492</v>
      </c>
      <c r="E37" s="36" t="s">
        <v>500</v>
      </c>
      <c r="F37" s="36" t="s">
        <v>499</v>
      </c>
      <c r="G37" t="s">
        <v>284</v>
      </c>
      <c r="H37" s="35">
        <v>45729</v>
      </c>
      <c r="I37" s="35">
        <v>45731</v>
      </c>
      <c r="J37" s="36">
        <v>1.8</v>
      </c>
      <c r="K37" s="62" t="s">
        <v>498</v>
      </c>
    </row>
    <row r="38" spans="1:11" ht="16.5" customHeight="1">
      <c r="A38" s="37">
        <v>7644933</v>
      </c>
      <c r="B38" s="36" t="s">
        <v>26</v>
      </c>
      <c r="C38" s="23" t="s">
        <v>345</v>
      </c>
      <c r="D38" s="23" t="s">
        <v>361</v>
      </c>
      <c r="E38" s="36" t="s">
        <v>368</v>
      </c>
      <c r="F38" s="36" t="s">
        <v>145</v>
      </c>
      <c r="G38" t="s">
        <v>284</v>
      </c>
      <c r="H38" s="35">
        <v>45735</v>
      </c>
      <c r="I38" s="35">
        <v>45737</v>
      </c>
      <c r="J38" s="36">
        <v>1.8</v>
      </c>
      <c r="K38" s="62" t="s">
        <v>497</v>
      </c>
    </row>
    <row r="39" spans="1:11" ht="16.5" customHeight="1">
      <c r="A39" s="37">
        <v>7646464</v>
      </c>
      <c r="B39" s="36" t="s">
        <v>26</v>
      </c>
      <c r="C39" s="23" t="s">
        <v>345</v>
      </c>
      <c r="D39" s="23" t="s">
        <v>361</v>
      </c>
      <c r="E39" s="36" t="s">
        <v>361</v>
      </c>
      <c r="F39" s="36" t="s">
        <v>145</v>
      </c>
      <c r="G39" t="s">
        <v>284</v>
      </c>
      <c r="H39" s="35">
        <v>45735</v>
      </c>
      <c r="I39" s="35">
        <v>45736</v>
      </c>
      <c r="J39" s="36">
        <v>0.9</v>
      </c>
      <c r="K39" s="62" t="s">
        <v>497</v>
      </c>
    </row>
    <row r="40" spans="1:11" ht="16.5" customHeight="1">
      <c r="A40" s="37">
        <v>7659883</v>
      </c>
      <c r="B40" s="36" t="s">
        <v>363</v>
      </c>
      <c r="C40" s="23" t="s">
        <v>345</v>
      </c>
      <c r="D40" s="23" t="s">
        <v>361</v>
      </c>
      <c r="E40" s="36" t="s">
        <v>483</v>
      </c>
      <c r="F40" s="36" t="s">
        <v>496</v>
      </c>
      <c r="G40" t="s">
        <v>284</v>
      </c>
      <c r="H40" s="35">
        <v>45740</v>
      </c>
      <c r="I40" s="35">
        <v>45740</v>
      </c>
      <c r="J40" s="36">
        <v>0.2</v>
      </c>
      <c r="K40" s="62" t="s">
        <v>495</v>
      </c>
    </row>
    <row r="41" spans="1:11" ht="16.5" customHeight="1">
      <c r="A41" s="37">
        <v>7663220</v>
      </c>
      <c r="B41" s="36" t="s">
        <v>363</v>
      </c>
      <c r="C41" s="23" t="s">
        <v>345</v>
      </c>
      <c r="D41" s="23" t="s">
        <v>361</v>
      </c>
      <c r="E41" s="36" t="s">
        <v>362</v>
      </c>
      <c r="F41" s="36" t="s">
        <v>494</v>
      </c>
      <c r="G41" t="s">
        <v>284</v>
      </c>
      <c r="H41" s="35">
        <v>45740</v>
      </c>
      <c r="I41" s="35">
        <v>45742</v>
      </c>
      <c r="J41" s="36">
        <v>1.8</v>
      </c>
    </row>
    <row r="42" spans="1:11" ht="16.5" customHeight="1">
      <c r="A42" s="37">
        <v>7670282</v>
      </c>
      <c r="B42" s="36" t="s">
        <v>88</v>
      </c>
      <c r="C42" s="36" t="s">
        <v>88</v>
      </c>
      <c r="D42" t="s">
        <v>492</v>
      </c>
      <c r="E42" s="36" t="s">
        <v>491</v>
      </c>
      <c r="F42" s="36" t="s">
        <v>493</v>
      </c>
      <c r="G42" t="s">
        <v>262</v>
      </c>
      <c r="H42" s="35">
        <v>45742</v>
      </c>
      <c r="I42" s="35">
        <v>45742</v>
      </c>
      <c r="J42" s="36">
        <v>0</v>
      </c>
      <c r="K42" s="62" t="s">
        <v>458</v>
      </c>
    </row>
    <row r="43" spans="1:11" ht="16.5" customHeight="1">
      <c r="A43" s="37">
        <v>7671562</v>
      </c>
      <c r="B43" s="36" t="s">
        <v>88</v>
      </c>
      <c r="C43" s="36" t="s">
        <v>88</v>
      </c>
      <c r="D43" t="s">
        <v>492</v>
      </c>
      <c r="E43" s="36" t="s">
        <v>491</v>
      </c>
      <c r="F43" s="36" t="s">
        <v>493</v>
      </c>
      <c r="G43" t="s">
        <v>262</v>
      </c>
      <c r="H43" s="35">
        <v>45742</v>
      </c>
      <c r="I43" s="35">
        <v>45743</v>
      </c>
      <c r="J43" s="36">
        <v>0.8</v>
      </c>
      <c r="K43" s="62" t="s">
        <v>458</v>
      </c>
    </row>
    <row r="44" spans="1:11" ht="16.5" customHeight="1">
      <c r="A44" s="37">
        <v>7676267</v>
      </c>
      <c r="B44" s="36" t="s">
        <v>88</v>
      </c>
      <c r="C44" s="36" t="s">
        <v>88</v>
      </c>
      <c r="D44" t="s">
        <v>492</v>
      </c>
      <c r="E44" s="36" t="s">
        <v>491</v>
      </c>
      <c r="F44" s="36" t="s">
        <v>490</v>
      </c>
      <c r="G44" t="s">
        <v>262</v>
      </c>
      <c r="H44" s="35">
        <v>45743</v>
      </c>
      <c r="I44" s="35">
        <v>45751</v>
      </c>
      <c r="J44" s="36">
        <v>10.7</v>
      </c>
      <c r="K44" s="62" t="s">
        <v>458</v>
      </c>
    </row>
    <row r="45" spans="1:11" ht="16.5" customHeight="1">
      <c r="A45" s="11" t="s">
        <v>261</v>
      </c>
      <c r="B45" s="11" t="s">
        <v>341</v>
      </c>
      <c r="C45" s="11" t="s">
        <v>345</v>
      </c>
      <c r="D45" s="11" t="s">
        <v>353</v>
      </c>
      <c r="E45" s="11" t="s">
        <v>489</v>
      </c>
      <c r="F45" s="11" t="s">
        <v>488</v>
      </c>
      <c r="G45" s="11" t="s">
        <v>256</v>
      </c>
      <c r="H45" s="63">
        <v>45734</v>
      </c>
      <c r="I45" s="13">
        <v>45734</v>
      </c>
      <c r="J45" s="11">
        <v>0.5</v>
      </c>
      <c r="K45" s="62" t="s">
        <v>487</v>
      </c>
    </row>
    <row r="46" spans="1:11" ht="16.5" customHeight="1">
      <c r="A46" s="11" t="s">
        <v>261</v>
      </c>
      <c r="B46" s="11" t="s">
        <v>18</v>
      </c>
      <c r="C46" s="11" t="s">
        <v>345</v>
      </c>
      <c r="D46" s="11" t="s">
        <v>353</v>
      </c>
      <c r="E46" s="11" t="s">
        <v>483</v>
      </c>
      <c r="F46" s="11" t="s">
        <v>486</v>
      </c>
      <c r="G46" s="11" t="s">
        <v>256</v>
      </c>
      <c r="H46" s="63">
        <v>45737</v>
      </c>
      <c r="I46" s="13">
        <v>45737</v>
      </c>
      <c r="J46" s="11">
        <v>0.3</v>
      </c>
      <c r="K46" s="62" t="s">
        <v>484</v>
      </c>
    </row>
    <row r="47" spans="1:11" ht="16.5" customHeight="1">
      <c r="A47" s="11" t="s">
        <v>261</v>
      </c>
      <c r="B47" s="11" t="s">
        <v>18</v>
      </c>
      <c r="C47" s="11" t="s">
        <v>345</v>
      </c>
      <c r="D47" s="11" t="s">
        <v>353</v>
      </c>
      <c r="E47" s="11" t="s">
        <v>483</v>
      </c>
      <c r="F47" s="11" t="s">
        <v>485</v>
      </c>
      <c r="G47" t="s">
        <v>284</v>
      </c>
      <c r="H47" s="63">
        <v>45741</v>
      </c>
      <c r="I47" s="13">
        <v>45743</v>
      </c>
      <c r="J47" s="11">
        <v>1</v>
      </c>
      <c r="K47" s="62" t="s">
        <v>484</v>
      </c>
    </row>
    <row r="48" spans="1:11" ht="16.5" customHeight="1">
      <c r="A48" s="11" t="s">
        <v>261</v>
      </c>
      <c r="B48" s="11" t="s">
        <v>18</v>
      </c>
      <c r="C48" s="11" t="s">
        <v>345</v>
      </c>
      <c r="D48" s="11" t="s">
        <v>353</v>
      </c>
      <c r="E48" s="11" t="s">
        <v>483</v>
      </c>
      <c r="F48" s="11" t="s">
        <v>482</v>
      </c>
      <c r="G48" s="68" t="s">
        <v>272</v>
      </c>
      <c r="H48" s="63">
        <v>45744</v>
      </c>
      <c r="I48" s="13">
        <v>45744</v>
      </c>
      <c r="J48" s="11">
        <v>0.5</v>
      </c>
    </row>
    <row r="49" spans="1:11" customFormat="1" ht="14.5">
      <c r="A49" s="26">
        <v>7655084</v>
      </c>
      <c r="B49" s="22" t="s">
        <v>84</v>
      </c>
      <c r="C49" s="11" t="s">
        <v>345</v>
      </c>
      <c r="D49" s="25" t="s">
        <v>344</v>
      </c>
      <c r="E49" s="22" t="s">
        <v>344</v>
      </c>
      <c r="F49" s="22" t="s">
        <v>481</v>
      </c>
      <c r="G49" s="23" t="s">
        <v>262</v>
      </c>
      <c r="H49" s="78">
        <v>45737.768750000003</v>
      </c>
      <c r="I49" s="78">
        <v>45742.556250000001</v>
      </c>
      <c r="J49" s="22">
        <v>0</v>
      </c>
    </row>
    <row r="50" spans="1:11" customFormat="1" ht="14.5">
      <c r="A50" s="26">
        <v>7658621</v>
      </c>
      <c r="B50" s="22" t="s">
        <v>84</v>
      </c>
      <c r="C50" s="11" t="s">
        <v>345</v>
      </c>
      <c r="D50" s="25" t="s">
        <v>344</v>
      </c>
      <c r="E50" s="22" t="s">
        <v>344</v>
      </c>
      <c r="F50" s="22" t="s">
        <v>480</v>
      </c>
      <c r="G50" s="23" t="s">
        <v>262</v>
      </c>
      <c r="H50" s="78">
        <v>45739.488888888889</v>
      </c>
      <c r="I50" s="78">
        <v>45740.456250000003</v>
      </c>
      <c r="J50" s="22">
        <v>0</v>
      </c>
    </row>
    <row r="51" spans="1:11" customFormat="1" ht="14.5">
      <c r="A51" s="26">
        <v>7661767</v>
      </c>
      <c r="B51" s="22" t="s">
        <v>348</v>
      </c>
      <c r="C51" s="11" t="s">
        <v>476</v>
      </c>
      <c r="D51" s="25" t="s">
        <v>344</v>
      </c>
      <c r="E51" s="22" t="s">
        <v>344</v>
      </c>
      <c r="F51" s="22" t="s">
        <v>479</v>
      </c>
      <c r="G51" s="23" t="s">
        <v>409</v>
      </c>
      <c r="H51" s="78">
        <v>45740.586111111108</v>
      </c>
      <c r="I51" s="78">
        <v>45740.677777777775</v>
      </c>
      <c r="J51" s="22">
        <v>0.11</v>
      </c>
    </row>
    <row r="52" spans="1:11" customFormat="1" ht="14.5">
      <c r="A52" s="26">
        <v>7665543</v>
      </c>
      <c r="B52" s="22" t="s">
        <v>346</v>
      </c>
      <c r="C52" s="11" t="s">
        <v>345</v>
      </c>
      <c r="D52" s="25" t="s">
        <v>344</v>
      </c>
      <c r="E52" s="22" t="s">
        <v>478</v>
      </c>
      <c r="F52" s="22" t="s">
        <v>477</v>
      </c>
      <c r="G52" s="23" t="s">
        <v>262</v>
      </c>
      <c r="H52" s="78">
        <v>45741.500694444447</v>
      </c>
      <c r="I52" s="78">
        <v>45742.43472222222</v>
      </c>
      <c r="J52" s="22">
        <v>0.11</v>
      </c>
    </row>
    <row r="53" spans="1:11" customFormat="1" ht="14.5">
      <c r="A53" s="26" t="s">
        <v>261</v>
      </c>
      <c r="B53" s="22" t="s">
        <v>348</v>
      </c>
      <c r="C53" s="11" t="s">
        <v>476</v>
      </c>
      <c r="D53" s="25" t="s">
        <v>344</v>
      </c>
      <c r="E53" s="22" t="s">
        <v>475</v>
      </c>
      <c r="F53" s="22" t="s">
        <v>474</v>
      </c>
      <c r="G53" s="23" t="s">
        <v>256</v>
      </c>
      <c r="H53" s="78"/>
      <c r="I53" s="78"/>
      <c r="J53" s="22"/>
    </row>
    <row r="54" spans="1:11" customFormat="1" ht="14.5">
      <c r="A54" s="26">
        <v>7674644</v>
      </c>
      <c r="B54" s="22" t="s">
        <v>84</v>
      </c>
      <c r="C54" s="11" t="s">
        <v>345</v>
      </c>
      <c r="D54" s="25" t="s">
        <v>344</v>
      </c>
      <c r="E54" s="22" t="s">
        <v>344</v>
      </c>
      <c r="F54" s="22" t="s">
        <v>473</v>
      </c>
      <c r="G54" s="23" t="s">
        <v>262</v>
      </c>
      <c r="H54" s="78">
        <v>45743.554861111108</v>
      </c>
      <c r="I54" s="77"/>
      <c r="J54" s="22">
        <v>0</v>
      </c>
    </row>
    <row r="55" spans="1:11" ht="16.5" customHeight="1">
      <c r="A55" s="11" t="s">
        <v>261</v>
      </c>
      <c r="B55" s="22" t="s">
        <v>84</v>
      </c>
      <c r="C55" s="11" t="s">
        <v>345</v>
      </c>
      <c r="D55" s="70" t="s">
        <v>344</v>
      </c>
      <c r="E55" s="70" t="s">
        <v>460</v>
      </c>
      <c r="F55" s="70" t="s">
        <v>472</v>
      </c>
      <c r="G55" s="68" t="s">
        <v>262</v>
      </c>
      <c r="H55" s="69">
        <v>45733</v>
      </c>
      <c r="I55" s="69">
        <v>45734</v>
      </c>
      <c r="K55" s="62" t="s">
        <v>458</v>
      </c>
    </row>
    <row r="56" spans="1:11" ht="16.5" customHeight="1">
      <c r="A56" s="11" t="s">
        <v>261</v>
      </c>
      <c r="B56" s="22" t="s">
        <v>84</v>
      </c>
      <c r="C56" s="11" t="s">
        <v>345</v>
      </c>
      <c r="D56" s="74" t="s">
        <v>344</v>
      </c>
      <c r="E56" s="74" t="s">
        <v>460</v>
      </c>
      <c r="F56" s="75" t="s">
        <v>471</v>
      </c>
      <c r="G56" s="68" t="s">
        <v>262</v>
      </c>
      <c r="H56" s="72">
        <v>45737</v>
      </c>
      <c r="I56" s="72">
        <v>45737</v>
      </c>
      <c r="J56" s="11">
        <v>0</v>
      </c>
      <c r="K56" s="62" t="s">
        <v>458</v>
      </c>
    </row>
    <row r="57" spans="1:11" ht="16.5" customHeight="1">
      <c r="A57" s="11" t="s">
        <v>261</v>
      </c>
      <c r="B57" s="22" t="s">
        <v>84</v>
      </c>
      <c r="C57" s="11" t="s">
        <v>345</v>
      </c>
      <c r="D57" s="74" t="s">
        <v>344</v>
      </c>
      <c r="E57" s="74" t="s">
        <v>460</v>
      </c>
      <c r="F57" s="75" t="s">
        <v>470</v>
      </c>
      <c r="G57" s="68" t="s">
        <v>262</v>
      </c>
      <c r="H57" s="72">
        <v>45737</v>
      </c>
      <c r="I57" s="72">
        <v>45737</v>
      </c>
      <c r="J57" s="11">
        <v>0</v>
      </c>
      <c r="K57" s="62" t="s">
        <v>458</v>
      </c>
    </row>
    <row r="58" spans="1:11" ht="16.5" customHeight="1">
      <c r="A58" s="11" t="s">
        <v>261</v>
      </c>
      <c r="B58" s="22" t="s">
        <v>84</v>
      </c>
      <c r="C58" s="11" t="s">
        <v>345</v>
      </c>
      <c r="D58" s="74" t="s">
        <v>344</v>
      </c>
      <c r="E58" s="74" t="s">
        <v>460</v>
      </c>
      <c r="F58" s="75" t="s">
        <v>469</v>
      </c>
      <c r="G58" s="68" t="s">
        <v>262</v>
      </c>
      <c r="H58" s="72">
        <v>45737</v>
      </c>
      <c r="I58" s="72">
        <v>45737</v>
      </c>
      <c r="J58" s="11">
        <v>0</v>
      </c>
      <c r="K58" s="62" t="s">
        <v>458</v>
      </c>
    </row>
    <row r="59" spans="1:11" ht="16.5" customHeight="1">
      <c r="A59" s="11" t="s">
        <v>261</v>
      </c>
      <c r="B59" s="22" t="s">
        <v>84</v>
      </c>
      <c r="C59" s="11" t="s">
        <v>345</v>
      </c>
      <c r="D59" s="74" t="s">
        <v>344</v>
      </c>
      <c r="E59" s="74" t="s">
        <v>460</v>
      </c>
      <c r="F59" s="75" t="s">
        <v>468</v>
      </c>
      <c r="G59" s="68" t="s">
        <v>262</v>
      </c>
      <c r="H59" s="72">
        <v>45737</v>
      </c>
      <c r="I59" s="72">
        <v>45737</v>
      </c>
      <c r="J59" s="11">
        <v>0</v>
      </c>
      <c r="K59" s="62" t="s">
        <v>458</v>
      </c>
    </row>
    <row r="60" spans="1:11" ht="16.5" customHeight="1">
      <c r="A60" s="11" t="s">
        <v>261</v>
      </c>
      <c r="B60" s="22" t="s">
        <v>84</v>
      </c>
      <c r="C60" s="11" t="s">
        <v>345</v>
      </c>
      <c r="D60" s="71" t="s">
        <v>344</v>
      </c>
      <c r="E60" s="74" t="s">
        <v>460</v>
      </c>
      <c r="F60" s="71" t="s">
        <v>467</v>
      </c>
      <c r="G60" s="68" t="s">
        <v>262</v>
      </c>
      <c r="H60" s="69">
        <v>45740</v>
      </c>
      <c r="I60" s="69">
        <v>45740</v>
      </c>
      <c r="J60" s="11">
        <v>0</v>
      </c>
      <c r="K60" s="62" t="s">
        <v>458</v>
      </c>
    </row>
    <row r="61" spans="1:11" ht="16.5" customHeight="1">
      <c r="A61" s="11" t="s">
        <v>261</v>
      </c>
      <c r="B61" s="22" t="s">
        <v>84</v>
      </c>
      <c r="C61" s="11" t="s">
        <v>345</v>
      </c>
      <c r="D61" s="71" t="s">
        <v>344</v>
      </c>
      <c r="E61" s="74" t="s">
        <v>460</v>
      </c>
      <c r="F61" s="70" t="s">
        <v>466</v>
      </c>
      <c r="G61" s="68" t="s">
        <v>262</v>
      </c>
      <c r="H61" s="69">
        <v>45740</v>
      </c>
      <c r="I61" s="69">
        <v>45741</v>
      </c>
      <c r="J61" s="11">
        <v>0</v>
      </c>
      <c r="K61" s="62" t="s">
        <v>458</v>
      </c>
    </row>
    <row r="62" spans="1:11" ht="16.5" customHeight="1">
      <c r="A62" s="11" t="s">
        <v>261</v>
      </c>
      <c r="B62" s="22" t="s">
        <v>84</v>
      </c>
      <c r="C62" s="11" t="s">
        <v>345</v>
      </c>
      <c r="D62" s="74" t="s">
        <v>344</v>
      </c>
      <c r="E62" s="74" t="s">
        <v>460</v>
      </c>
      <c r="F62" s="76" t="s">
        <v>465</v>
      </c>
      <c r="G62" s="68" t="s">
        <v>262</v>
      </c>
      <c r="H62" s="72">
        <v>45741</v>
      </c>
      <c r="I62" s="72">
        <v>45741</v>
      </c>
      <c r="J62" s="11">
        <v>0</v>
      </c>
      <c r="K62" s="62" t="s">
        <v>458</v>
      </c>
    </row>
    <row r="63" spans="1:11" ht="16.5" customHeight="1">
      <c r="A63" s="11" t="s">
        <v>261</v>
      </c>
      <c r="B63" s="22" t="s">
        <v>84</v>
      </c>
      <c r="C63" s="11" t="s">
        <v>345</v>
      </c>
      <c r="D63" s="74" t="s">
        <v>344</v>
      </c>
      <c r="E63" s="74" t="s">
        <v>460</v>
      </c>
      <c r="F63" s="75" t="s">
        <v>464</v>
      </c>
      <c r="G63" s="68" t="s">
        <v>262</v>
      </c>
      <c r="H63" s="72">
        <v>45741</v>
      </c>
      <c r="I63" s="72">
        <v>45741</v>
      </c>
      <c r="J63" s="11">
        <v>0</v>
      </c>
      <c r="K63" s="62" t="s">
        <v>458</v>
      </c>
    </row>
    <row r="64" spans="1:11" ht="16.5" customHeight="1">
      <c r="A64" s="11" t="s">
        <v>261</v>
      </c>
      <c r="B64" s="22" t="s">
        <v>84</v>
      </c>
      <c r="C64" s="11" t="s">
        <v>345</v>
      </c>
      <c r="D64" s="74" t="s">
        <v>344</v>
      </c>
      <c r="E64" s="74" t="s">
        <v>460</v>
      </c>
      <c r="F64" s="75" t="s">
        <v>463</v>
      </c>
      <c r="G64" s="68" t="s">
        <v>262</v>
      </c>
      <c r="H64" s="72">
        <v>45741</v>
      </c>
      <c r="I64" s="72">
        <v>45741</v>
      </c>
      <c r="J64" s="11">
        <v>0</v>
      </c>
      <c r="K64" s="62" t="s">
        <v>458</v>
      </c>
    </row>
    <row r="65" spans="1:11" ht="16.5" customHeight="1">
      <c r="A65" s="11" t="s">
        <v>261</v>
      </c>
      <c r="B65" s="22" t="s">
        <v>84</v>
      </c>
      <c r="C65" s="11" t="s">
        <v>345</v>
      </c>
      <c r="D65" s="74" t="s">
        <v>344</v>
      </c>
      <c r="E65" s="74" t="s">
        <v>460</v>
      </c>
      <c r="F65" s="75" t="s">
        <v>462</v>
      </c>
      <c r="G65" s="68" t="s">
        <v>262</v>
      </c>
      <c r="H65" s="72">
        <v>45741</v>
      </c>
      <c r="I65" s="72">
        <v>45741</v>
      </c>
      <c r="J65" s="11">
        <v>0</v>
      </c>
      <c r="K65" s="62" t="s">
        <v>458</v>
      </c>
    </row>
    <row r="66" spans="1:11" ht="16.5" customHeight="1">
      <c r="A66" s="11" t="s">
        <v>261</v>
      </c>
      <c r="B66" s="22" t="s">
        <v>84</v>
      </c>
      <c r="C66" s="11" t="s">
        <v>345</v>
      </c>
      <c r="D66" s="74" t="s">
        <v>344</v>
      </c>
      <c r="E66" s="74" t="s">
        <v>460</v>
      </c>
      <c r="F66" s="73" t="s">
        <v>461</v>
      </c>
      <c r="G66" s="68" t="s">
        <v>262</v>
      </c>
      <c r="H66" s="72">
        <v>45741</v>
      </c>
      <c r="I66" s="72">
        <v>45741</v>
      </c>
      <c r="J66" s="11">
        <v>0</v>
      </c>
      <c r="K66" s="62" t="s">
        <v>458</v>
      </c>
    </row>
    <row r="67" spans="1:11" ht="16.5" customHeight="1">
      <c r="A67" s="11" t="s">
        <v>261</v>
      </c>
      <c r="B67" s="22" t="s">
        <v>84</v>
      </c>
      <c r="C67" s="11" t="s">
        <v>345</v>
      </c>
      <c r="D67" s="71" t="s">
        <v>344</v>
      </c>
      <c r="E67" s="71" t="s">
        <v>460</v>
      </c>
      <c r="F67" s="70" t="s">
        <v>459</v>
      </c>
      <c r="G67" s="68" t="s">
        <v>262</v>
      </c>
      <c r="H67" s="69">
        <v>45744</v>
      </c>
      <c r="I67" s="69">
        <v>45744</v>
      </c>
      <c r="J67" s="11">
        <v>0</v>
      </c>
      <c r="K67" s="62" t="s">
        <v>458</v>
      </c>
    </row>
    <row r="68" spans="1:11" ht="16.5" customHeight="1">
      <c r="A68" s="11" t="s">
        <v>261</v>
      </c>
      <c r="B68" s="11" t="s">
        <v>167</v>
      </c>
      <c r="D68" s="11" t="s">
        <v>361</v>
      </c>
      <c r="E68" s="11" t="s">
        <v>454</v>
      </c>
      <c r="F68" s="11" t="s">
        <v>457</v>
      </c>
      <c r="G68" s="68" t="s">
        <v>272</v>
      </c>
      <c r="H68" s="63">
        <v>45723</v>
      </c>
      <c r="I68" s="63">
        <v>45723</v>
      </c>
      <c r="J68" s="11">
        <v>0</v>
      </c>
      <c r="K68" s="62" t="s">
        <v>452</v>
      </c>
    </row>
    <row r="69" spans="1:11" ht="16.5" customHeight="1">
      <c r="A69" s="11" t="s">
        <v>261</v>
      </c>
      <c r="B69" s="11" t="s">
        <v>167</v>
      </c>
      <c r="D69" s="11" t="s">
        <v>361</v>
      </c>
      <c r="E69" s="11" t="s">
        <v>454</v>
      </c>
      <c r="F69" s="18" t="s">
        <v>456</v>
      </c>
      <c r="G69" s="68" t="s">
        <v>272</v>
      </c>
      <c r="H69" s="63">
        <v>45723</v>
      </c>
      <c r="I69" s="63">
        <v>45723</v>
      </c>
      <c r="J69" s="11">
        <v>0</v>
      </c>
      <c r="K69" s="62" t="s">
        <v>452</v>
      </c>
    </row>
    <row r="70" spans="1:11" ht="16.5" customHeight="1">
      <c r="A70" s="11" t="s">
        <v>261</v>
      </c>
      <c r="B70" s="11" t="s">
        <v>167</v>
      </c>
      <c r="D70" s="11" t="s">
        <v>361</v>
      </c>
      <c r="E70" s="11" t="s">
        <v>454</v>
      </c>
      <c r="F70" s="18" t="s">
        <v>455</v>
      </c>
      <c r="G70" s="68" t="s">
        <v>264</v>
      </c>
      <c r="H70" s="63">
        <v>45723</v>
      </c>
      <c r="I70" s="63">
        <v>45723</v>
      </c>
      <c r="J70" s="11">
        <v>0</v>
      </c>
      <c r="K70" s="62" t="s">
        <v>452</v>
      </c>
    </row>
    <row r="71" spans="1:11" ht="16.5" customHeight="1">
      <c r="A71" s="11" t="s">
        <v>261</v>
      </c>
      <c r="B71" s="11" t="s">
        <v>167</v>
      </c>
      <c r="D71" s="11" t="s">
        <v>361</v>
      </c>
      <c r="E71" s="11" t="s">
        <v>454</v>
      </c>
      <c r="F71" s="18" t="s">
        <v>453</v>
      </c>
      <c r="G71" s="68" t="s">
        <v>256</v>
      </c>
      <c r="H71" s="63">
        <v>45723</v>
      </c>
      <c r="I71" s="63">
        <v>45723</v>
      </c>
      <c r="J71" s="11">
        <v>0</v>
      </c>
      <c r="K71" s="62" t="s">
        <v>452</v>
      </c>
    </row>
    <row r="72" spans="1:11" ht="16.5" customHeight="1">
      <c r="B72" s="11" t="s">
        <v>451</v>
      </c>
      <c r="D72" s="11" t="s">
        <v>259</v>
      </c>
      <c r="E72" s="11" t="s">
        <v>259</v>
      </c>
      <c r="F72" s="11" t="s">
        <v>450</v>
      </c>
      <c r="G72" s="11" t="s">
        <v>256</v>
      </c>
      <c r="H72" s="63">
        <v>45735</v>
      </c>
      <c r="I72" s="13">
        <v>45736</v>
      </c>
    </row>
    <row r="73" spans="1:11" ht="16.5" customHeight="1">
      <c r="A73" s="11" t="s">
        <v>270</v>
      </c>
      <c r="B73" s="11" t="s">
        <v>269</v>
      </c>
      <c r="C73" s="11" t="s">
        <v>39</v>
      </c>
      <c r="D73" s="11" t="s">
        <v>267</v>
      </c>
      <c r="E73" s="11" t="s">
        <v>445</v>
      </c>
      <c r="F73" s="11" t="s">
        <v>449</v>
      </c>
      <c r="G73" s="11" t="s">
        <v>262</v>
      </c>
      <c r="H73" s="13">
        <v>45741</v>
      </c>
      <c r="I73" s="13">
        <v>45741</v>
      </c>
      <c r="J73" s="14">
        <f>I73-H73</f>
        <v>0</v>
      </c>
      <c r="K73" s="11" t="s">
        <v>448</v>
      </c>
    </row>
    <row r="74" spans="1:11" ht="16.5" customHeight="1">
      <c r="A74" s="11" t="s">
        <v>270</v>
      </c>
      <c r="B74" s="11" t="s">
        <v>269</v>
      </c>
      <c r="C74" s="11" t="s">
        <v>39</v>
      </c>
      <c r="D74" s="11" t="s">
        <v>267</v>
      </c>
      <c r="E74" s="11" t="s">
        <v>445</v>
      </c>
      <c r="F74" s="11" t="s">
        <v>447</v>
      </c>
      <c r="G74" s="11" t="s">
        <v>262</v>
      </c>
      <c r="H74" s="13">
        <v>45742</v>
      </c>
      <c r="I74" s="13">
        <v>45742</v>
      </c>
      <c r="J74" s="12"/>
      <c r="K74" s="11" t="s">
        <v>446</v>
      </c>
    </row>
    <row r="75" spans="1:11" ht="16.5" customHeight="1">
      <c r="A75" s="11" t="s">
        <v>270</v>
      </c>
      <c r="B75" s="11" t="s">
        <v>269</v>
      </c>
      <c r="C75" s="11" t="s">
        <v>39</v>
      </c>
      <c r="D75" s="11" t="s">
        <v>267</v>
      </c>
      <c r="E75" s="11" t="s">
        <v>445</v>
      </c>
      <c r="F75" s="11" t="s">
        <v>38</v>
      </c>
      <c r="G75" s="11" t="s">
        <v>256</v>
      </c>
      <c r="H75" s="13">
        <v>45739</v>
      </c>
      <c r="I75" s="13">
        <v>45739</v>
      </c>
      <c r="J75" s="12"/>
      <c r="K75" s="11"/>
    </row>
    <row r="76" spans="1:11" ht="16.5" customHeight="1">
      <c r="A76" s="11" t="s">
        <v>324</v>
      </c>
      <c r="B76" s="11" t="s">
        <v>269</v>
      </c>
      <c r="C76" s="11" t="s">
        <v>323</v>
      </c>
      <c r="D76" s="11" t="s">
        <v>267</v>
      </c>
      <c r="E76" s="11" t="s">
        <v>322</v>
      </c>
      <c r="F76" s="11" t="s">
        <v>444</v>
      </c>
      <c r="G76" s="11" t="s">
        <v>264</v>
      </c>
      <c r="H76" s="13">
        <v>45737</v>
      </c>
      <c r="I76" s="13">
        <v>45737</v>
      </c>
      <c r="J76" s="14">
        <f>I76-H76</f>
        <v>0</v>
      </c>
      <c r="K76" s="11"/>
    </row>
    <row r="77" spans="1:11" ht="16.5" customHeight="1">
      <c r="A77" s="11" t="s">
        <v>324</v>
      </c>
      <c r="B77" s="11" t="s">
        <v>269</v>
      </c>
      <c r="C77" s="11" t="s">
        <v>323</v>
      </c>
      <c r="D77" s="11" t="s">
        <v>267</v>
      </c>
      <c r="E77" s="11" t="s">
        <v>322</v>
      </c>
      <c r="F77" s="11" t="s">
        <v>46</v>
      </c>
      <c r="G77" s="11" t="s">
        <v>436</v>
      </c>
      <c r="H77" s="13">
        <v>45737</v>
      </c>
      <c r="I77" s="13">
        <v>45737</v>
      </c>
      <c r="J77" s="14">
        <f>I77-H77</f>
        <v>0</v>
      </c>
      <c r="K77" s="12" t="s">
        <v>46</v>
      </c>
    </row>
    <row r="78" spans="1:11" ht="16.5" customHeight="1">
      <c r="A78" s="11" t="s">
        <v>324</v>
      </c>
      <c r="B78" s="11" t="s">
        <v>269</v>
      </c>
      <c r="C78" s="11" t="s">
        <v>323</v>
      </c>
      <c r="D78" s="11" t="s">
        <v>267</v>
      </c>
      <c r="E78" s="11" t="s">
        <v>322</v>
      </c>
      <c r="F78" s="11" t="s">
        <v>45</v>
      </c>
      <c r="G78" s="20" t="s">
        <v>256</v>
      </c>
      <c r="H78" s="13">
        <v>45742</v>
      </c>
      <c r="I78" s="13">
        <v>45742</v>
      </c>
      <c r="J78" s="14">
        <f>I78-H78</f>
        <v>0</v>
      </c>
      <c r="K78" s="11"/>
    </row>
    <row r="79" spans="1:11" ht="16.5" customHeight="1">
      <c r="A79" s="11" t="s">
        <v>324</v>
      </c>
      <c r="B79" s="11" t="s">
        <v>269</v>
      </c>
      <c r="C79" s="11" t="s">
        <v>323</v>
      </c>
      <c r="D79" s="11" t="s">
        <v>267</v>
      </c>
      <c r="E79" s="11" t="s">
        <v>322</v>
      </c>
      <c r="F79" s="11" t="s">
        <v>443</v>
      </c>
      <c r="G79" s="11" t="s">
        <v>262</v>
      </c>
      <c r="H79" s="13">
        <v>45779</v>
      </c>
      <c r="I79" s="13">
        <v>45779</v>
      </c>
      <c r="J79" s="14">
        <f>I79-H79</f>
        <v>0</v>
      </c>
      <c r="K79" s="11" t="s">
        <v>442</v>
      </c>
    </row>
    <row r="80" spans="1:11" ht="16.5" customHeight="1">
      <c r="A80" s="11" t="s">
        <v>324</v>
      </c>
      <c r="B80" s="11" t="s">
        <v>269</v>
      </c>
      <c r="C80" s="11" t="s">
        <v>323</v>
      </c>
      <c r="D80" s="11" t="s">
        <v>267</v>
      </c>
      <c r="E80" s="11" t="s">
        <v>322</v>
      </c>
      <c r="F80" s="11" t="s">
        <v>441</v>
      </c>
      <c r="G80" s="11" t="s">
        <v>262</v>
      </c>
      <c r="H80" s="13">
        <v>45792</v>
      </c>
      <c r="I80" s="13">
        <v>45793</v>
      </c>
      <c r="J80" s="14">
        <f>I80-H80</f>
        <v>1</v>
      </c>
      <c r="K80" s="11" t="s">
        <v>440</v>
      </c>
    </row>
    <row r="81" spans="1:11" ht="16.5" customHeight="1">
      <c r="A81" s="11" t="s">
        <v>324</v>
      </c>
      <c r="B81" s="11" t="s">
        <v>269</v>
      </c>
      <c r="C81" s="11" t="s">
        <v>323</v>
      </c>
      <c r="D81" s="11" t="s">
        <v>267</v>
      </c>
      <c r="E81" s="11" t="s">
        <v>430</v>
      </c>
      <c r="F81" s="11" t="s">
        <v>439</v>
      </c>
      <c r="G81" s="11" t="s">
        <v>262</v>
      </c>
      <c r="H81" s="13">
        <v>45793</v>
      </c>
      <c r="I81" s="13">
        <v>45795</v>
      </c>
      <c r="J81" s="14">
        <f>I81-H81</f>
        <v>2</v>
      </c>
      <c r="K81" s="12" t="s">
        <v>438</v>
      </c>
    </row>
    <row r="82" spans="1:11" ht="16.5" customHeight="1">
      <c r="A82" s="11" t="s">
        <v>324</v>
      </c>
      <c r="B82" s="11" t="s">
        <v>269</v>
      </c>
      <c r="C82" s="11" t="s">
        <v>323</v>
      </c>
      <c r="D82" s="11" t="s">
        <v>267</v>
      </c>
      <c r="E82" s="11" t="s">
        <v>430</v>
      </c>
      <c r="F82" s="67" t="s">
        <v>437</v>
      </c>
      <c r="G82" s="11" t="s">
        <v>436</v>
      </c>
      <c r="H82" s="13">
        <v>45797</v>
      </c>
      <c r="I82" s="13">
        <v>45797</v>
      </c>
      <c r="J82" s="14">
        <f>I82-H82</f>
        <v>0</v>
      </c>
      <c r="K82" s="11"/>
    </row>
    <row r="83" spans="1:11" ht="16.5" customHeight="1">
      <c r="A83" s="11" t="s">
        <v>324</v>
      </c>
      <c r="B83" s="11" t="s">
        <v>269</v>
      </c>
      <c r="C83" s="11" t="s">
        <v>323</v>
      </c>
      <c r="D83" s="11" t="s">
        <v>267</v>
      </c>
      <c r="E83" s="11" t="s">
        <v>430</v>
      </c>
      <c r="F83" s="11" t="s">
        <v>435</v>
      </c>
      <c r="G83" s="11" t="s">
        <v>262</v>
      </c>
      <c r="H83" s="13">
        <v>45798</v>
      </c>
      <c r="I83" s="13">
        <v>45799</v>
      </c>
      <c r="J83" s="14">
        <f>I83-H83</f>
        <v>1</v>
      </c>
      <c r="K83" s="11" t="s">
        <v>434</v>
      </c>
    </row>
    <row r="84" spans="1:11" ht="16.5" customHeight="1">
      <c r="A84" s="11" t="s">
        <v>324</v>
      </c>
      <c r="B84" s="11" t="s">
        <v>269</v>
      </c>
      <c r="C84" s="11" t="s">
        <v>323</v>
      </c>
      <c r="D84" s="11" t="s">
        <v>267</v>
      </c>
      <c r="E84" s="11" t="s">
        <v>430</v>
      </c>
      <c r="F84" s="11" t="s">
        <v>433</v>
      </c>
      <c r="G84" s="11" t="s">
        <v>262</v>
      </c>
      <c r="H84" s="13">
        <v>45800</v>
      </c>
      <c r="I84" s="13">
        <v>45807</v>
      </c>
      <c r="J84" s="14">
        <f>I84-H84</f>
        <v>7</v>
      </c>
      <c r="K84" s="12" t="s">
        <v>432</v>
      </c>
    </row>
    <row r="85" spans="1:11" ht="16.5" customHeight="1">
      <c r="A85" s="11" t="s">
        <v>324</v>
      </c>
      <c r="B85" s="11" t="s">
        <v>269</v>
      </c>
      <c r="C85" s="11" t="s">
        <v>323</v>
      </c>
      <c r="D85" s="11" t="s">
        <v>267</v>
      </c>
      <c r="E85" s="11" t="s">
        <v>430</v>
      </c>
      <c r="F85" s="67" t="s">
        <v>9</v>
      </c>
      <c r="G85" s="11" t="s">
        <v>264</v>
      </c>
      <c r="H85" s="13">
        <v>45806</v>
      </c>
      <c r="I85" s="13">
        <v>45806</v>
      </c>
      <c r="J85" s="14">
        <f>I85-H85</f>
        <v>0</v>
      </c>
      <c r="K85" s="11"/>
    </row>
    <row r="86" spans="1:11" ht="16.5" customHeight="1">
      <c r="A86" s="11" t="s">
        <v>270</v>
      </c>
      <c r="B86" s="11" t="s">
        <v>269</v>
      </c>
      <c r="C86" s="11" t="s">
        <v>323</v>
      </c>
      <c r="D86" s="11" t="s">
        <v>267</v>
      </c>
      <c r="E86" s="11" t="s">
        <v>322</v>
      </c>
      <c r="F86" s="67" t="s">
        <v>431</v>
      </c>
      <c r="G86" s="11" t="s">
        <v>272</v>
      </c>
      <c r="H86" s="13">
        <v>45807</v>
      </c>
      <c r="I86" s="13">
        <v>45817</v>
      </c>
      <c r="J86" s="14">
        <f>I86-H86</f>
        <v>10</v>
      </c>
      <c r="K86" s="11"/>
    </row>
    <row r="87" spans="1:11" ht="16.5" customHeight="1">
      <c r="A87" s="11" t="s">
        <v>324</v>
      </c>
      <c r="B87" s="11" t="s">
        <v>269</v>
      </c>
      <c r="C87" s="11" t="s">
        <v>323</v>
      </c>
      <c r="D87" s="11" t="s">
        <v>267</v>
      </c>
      <c r="E87" s="11" t="s">
        <v>430</v>
      </c>
      <c r="F87" s="11" t="s">
        <v>429</v>
      </c>
      <c r="G87" s="11" t="s">
        <v>262</v>
      </c>
      <c r="H87" s="13">
        <v>45808</v>
      </c>
      <c r="I87" s="13">
        <v>45808</v>
      </c>
      <c r="J87" s="14">
        <f>I87-H87</f>
        <v>0</v>
      </c>
      <c r="K87" s="12" t="s">
        <v>428</v>
      </c>
    </row>
    <row r="88" spans="1:11" ht="16.5" customHeight="1">
      <c r="A88" s="11" t="s">
        <v>324</v>
      </c>
      <c r="B88" s="11" t="s">
        <v>269</v>
      </c>
      <c r="C88" s="11" t="s">
        <v>388</v>
      </c>
      <c r="D88" s="11" t="s">
        <v>267</v>
      </c>
      <c r="E88" s="11" t="s">
        <v>387</v>
      </c>
      <c r="F88" s="11" t="s">
        <v>427</v>
      </c>
      <c r="G88" s="11" t="s">
        <v>272</v>
      </c>
      <c r="H88" s="13">
        <v>45663</v>
      </c>
      <c r="I88" s="13">
        <v>45663</v>
      </c>
      <c r="J88" s="14">
        <f>I88-H88</f>
        <v>0</v>
      </c>
      <c r="K88" s="11"/>
    </row>
    <row r="89" spans="1:11" ht="16.5" customHeight="1">
      <c r="A89" s="11" t="s">
        <v>324</v>
      </c>
      <c r="B89" s="11" t="s">
        <v>269</v>
      </c>
      <c r="C89" s="11" t="s">
        <v>388</v>
      </c>
      <c r="D89" s="11" t="s">
        <v>267</v>
      </c>
      <c r="E89" s="11" t="s">
        <v>387</v>
      </c>
      <c r="F89" s="11" t="s">
        <v>426</v>
      </c>
      <c r="G89" s="11" t="s">
        <v>272</v>
      </c>
      <c r="H89" s="13">
        <v>45663</v>
      </c>
      <c r="I89" s="13">
        <v>45663</v>
      </c>
      <c r="J89" s="14">
        <f>I89-H89</f>
        <v>0</v>
      </c>
      <c r="K89" s="11"/>
    </row>
    <row r="90" spans="1:11" ht="16.5" customHeight="1">
      <c r="A90" s="11" t="s">
        <v>324</v>
      </c>
      <c r="B90" s="11" t="s">
        <v>269</v>
      </c>
      <c r="C90" s="11" t="s">
        <v>388</v>
      </c>
      <c r="D90" s="11" t="s">
        <v>267</v>
      </c>
      <c r="E90" s="11" t="s">
        <v>387</v>
      </c>
      <c r="F90" s="11" t="s">
        <v>425</v>
      </c>
      <c r="G90" s="11" t="s">
        <v>272</v>
      </c>
      <c r="H90" s="13">
        <v>45663</v>
      </c>
      <c r="I90" s="13">
        <v>45663</v>
      </c>
      <c r="J90" s="14">
        <f>I90-H90</f>
        <v>0</v>
      </c>
      <c r="K90" s="11"/>
    </row>
    <row r="91" spans="1:11" ht="16.5" customHeight="1">
      <c r="A91" s="11" t="s">
        <v>389</v>
      </c>
      <c r="B91" s="11" t="s">
        <v>269</v>
      </c>
      <c r="C91" s="11" t="s">
        <v>388</v>
      </c>
      <c r="D91" s="11" t="s">
        <v>267</v>
      </c>
      <c r="E91" s="11" t="s">
        <v>387</v>
      </c>
      <c r="F91" s="11" t="s">
        <v>424</v>
      </c>
      <c r="G91" s="11" t="s">
        <v>272</v>
      </c>
      <c r="H91" s="13">
        <v>45685</v>
      </c>
      <c r="I91" s="13">
        <v>45685</v>
      </c>
      <c r="J91" s="14">
        <f>I91-H91</f>
        <v>0</v>
      </c>
      <c r="K91" s="11"/>
    </row>
    <row r="92" spans="1:11" ht="16.5" customHeight="1">
      <c r="A92" s="11" t="s">
        <v>389</v>
      </c>
      <c r="B92" s="11" t="s">
        <v>269</v>
      </c>
      <c r="C92" s="11" t="s">
        <v>388</v>
      </c>
      <c r="D92" s="11" t="s">
        <v>267</v>
      </c>
      <c r="E92" s="11" t="s">
        <v>387</v>
      </c>
      <c r="F92" s="11" t="s">
        <v>423</v>
      </c>
      <c r="G92" s="11" t="s">
        <v>272</v>
      </c>
      <c r="H92" s="13">
        <v>45663</v>
      </c>
      <c r="I92" s="13">
        <v>45663</v>
      </c>
      <c r="J92" s="14">
        <f>I92-H92</f>
        <v>0</v>
      </c>
      <c r="K92" s="11"/>
    </row>
    <row r="93" spans="1:11" ht="16.5" customHeight="1">
      <c r="A93" s="11" t="s">
        <v>389</v>
      </c>
      <c r="B93" s="11" t="s">
        <v>269</v>
      </c>
      <c r="C93" s="11" t="s">
        <v>388</v>
      </c>
      <c r="D93" s="11" t="s">
        <v>267</v>
      </c>
      <c r="E93" s="11" t="s">
        <v>387</v>
      </c>
      <c r="F93" s="11" t="s">
        <v>422</v>
      </c>
      <c r="G93" s="11" t="s">
        <v>272</v>
      </c>
      <c r="H93" s="13">
        <v>45685</v>
      </c>
      <c r="I93" s="13">
        <v>45685</v>
      </c>
      <c r="J93" s="14">
        <f>I93-H93</f>
        <v>0</v>
      </c>
      <c r="K93" s="11"/>
    </row>
    <row r="94" spans="1:11" ht="16.5" customHeight="1">
      <c r="B94" s="11" t="s">
        <v>269</v>
      </c>
      <c r="C94" s="11" t="s">
        <v>388</v>
      </c>
      <c r="D94" s="11" t="s">
        <v>267</v>
      </c>
      <c r="E94" s="11" t="s">
        <v>387</v>
      </c>
      <c r="F94" s="11" t="s">
        <v>421</v>
      </c>
      <c r="G94" s="11" t="s">
        <v>272</v>
      </c>
      <c r="H94" s="13">
        <v>45751</v>
      </c>
      <c r="I94" s="13">
        <v>45751</v>
      </c>
      <c r="J94" s="14">
        <f>I94-H94</f>
        <v>0</v>
      </c>
      <c r="K94" s="11"/>
    </row>
    <row r="95" spans="1:11" ht="16.5" customHeight="1">
      <c r="A95" s="11" t="s">
        <v>389</v>
      </c>
      <c r="B95" s="11" t="s">
        <v>269</v>
      </c>
      <c r="C95" s="11" t="s">
        <v>388</v>
      </c>
      <c r="D95" s="11" t="s">
        <v>267</v>
      </c>
      <c r="E95" s="11" t="s">
        <v>387</v>
      </c>
      <c r="F95" s="11" t="s">
        <v>420</v>
      </c>
      <c r="G95" s="11" t="s">
        <v>272</v>
      </c>
      <c r="H95" s="13">
        <v>45796</v>
      </c>
      <c r="I95" s="13">
        <v>45796</v>
      </c>
      <c r="J95" s="14">
        <f>I95-H95</f>
        <v>0</v>
      </c>
      <c r="K95" s="11"/>
    </row>
    <row r="96" spans="1:11" ht="16.5" customHeight="1">
      <c r="A96" s="11" t="s">
        <v>389</v>
      </c>
      <c r="B96" s="11" t="s">
        <v>269</v>
      </c>
      <c r="C96" s="11" t="s">
        <v>388</v>
      </c>
      <c r="D96" s="11" t="s">
        <v>267</v>
      </c>
      <c r="E96" s="11" t="s">
        <v>387</v>
      </c>
      <c r="F96" s="11" t="s">
        <v>419</v>
      </c>
      <c r="G96" s="11" t="s">
        <v>272</v>
      </c>
      <c r="H96" s="13">
        <v>45768</v>
      </c>
      <c r="I96" s="13">
        <v>45768</v>
      </c>
      <c r="J96" s="14">
        <f>I96-H96</f>
        <v>0</v>
      </c>
      <c r="K96" s="11"/>
    </row>
    <row r="97" spans="1:11" ht="16.5" customHeight="1">
      <c r="A97" s="11" t="s">
        <v>389</v>
      </c>
      <c r="B97" s="11" t="s">
        <v>269</v>
      </c>
      <c r="C97" s="11" t="s">
        <v>388</v>
      </c>
      <c r="D97" s="11" t="s">
        <v>267</v>
      </c>
      <c r="E97" s="11" t="s">
        <v>387</v>
      </c>
      <c r="F97" s="11" t="s">
        <v>418</v>
      </c>
      <c r="G97" s="11" t="s">
        <v>272</v>
      </c>
      <c r="H97" s="13">
        <v>45768</v>
      </c>
      <c r="I97" s="13">
        <v>45768</v>
      </c>
      <c r="J97" s="14">
        <f>I97-H97</f>
        <v>0</v>
      </c>
      <c r="K97" s="11"/>
    </row>
    <row r="98" spans="1:11" ht="16.5" customHeight="1">
      <c r="A98" s="11" t="s">
        <v>389</v>
      </c>
      <c r="B98" s="11" t="s">
        <v>269</v>
      </c>
      <c r="C98" s="11" t="s">
        <v>388</v>
      </c>
      <c r="D98" s="11" t="s">
        <v>267</v>
      </c>
      <c r="E98" s="11" t="s">
        <v>387</v>
      </c>
      <c r="F98" s="11" t="s">
        <v>417</v>
      </c>
      <c r="G98" s="11" t="s">
        <v>272</v>
      </c>
      <c r="H98" s="13">
        <v>45790</v>
      </c>
      <c r="I98" s="13">
        <v>45790</v>
      </c>
      <c r="J98" s="14">
        <f>I98-H98</f>
        <v>0</v>
      </c>
      <c r="K98" s="11"/>
    </row>
    <row r="99" spans="1:11" ht="16.5" customHeight="1">
      <c r="A99" s="11" t="s">
        <v>389</v>
      </c>
      <c r="B99" s="11" t="s">
        <v>269</v>
      </c>
      <c r="C99" s="11" t="s">
        <v>388</v>
      </c>
      <c r="D99" s="11" t="s">
        <v>267</v>
      </c>
      <c r="E99" s="11" t="s">
        <v>387</v>
      </c>
      <c r="F99" s="11" t="s">
        <v>416</v>
      </c>
      <c r="G99" s="11" t="s">
        <v>272</v>
      </c>
      <c r="H99" s="13">
        <v>45791</v>
      </c>
      <c r="I99" s="13">
        <v>45791</v>
      </c>
      <c r="J99" s="14">
        <f>I99-H99</f>
        <v>0</v>
      </c>
      <c r="K99" s="11" t="s">
        <v>415</v>
      </c>
    </row>
    <row r="100" spans="1:11" ht="16.5" customHeight="1">
      <c r="A100" s="11" t="s">
        <v>389</v>
      </c>
      <c r="B100" s="11" t="s">
        <v>269</v>
      </c>
      <c r="C100" s="11" t="s">
        <v>388</v>
      </c>
      <c r="D100" s="11" t="s">
        <v>267</v>
      </c>
      <c r="E100" s="11" t="s">
        <v>387</v>
      </c>
      <c r="F100" s="11" t="s">
        <v>414</v>
      </c>
      <c r="G100" s="11" t="s">
        <v>272</v>
      </c>
      <c r="H100" s="13">
        <v>45790</v>
      </c>
      <c r="I100" s="13">
        <v>45790</v>
      </c>
      <c r="J100" s="14">
        <f>I100-H100</f>
        <v>0</v>
      </c>
      <c r="K100" s="11"/>
    </row>
    <row r="101" spans="1:11" ht="16.5" customHeight="1">
      <c r="A101" s="11" t="s">
        <v>389</v>
      </c>
      <c r="B101" s="11" t="s">
        <v>269</v>
      </c>
      <c r="C101" s="11" t="s">
        <v>388</v>
      </c>
      <c r="D101" s="11" t="s">
        <v>267</v>
      </c>
      <c r="E101" s="11" t="s">
        <v>387</v>
      </c>
      <c r="F101" s="11" t="s">
        <v>413</v>
      </c>
      <c r="G101" s="11" t="s">
        <v>272</v>
      </c>
      <c r="H101" s="13">
        <v>45790</v>
      </c>
      <c r="I101" s="13">
        <v>45790</v>
      </c>
      <c r="J101" s="14">
        <f>I101-H101</f>
        <v>0</v>
      </c>
      <c r="K101" s="11"/>
    </row>
    <row r="102" spans="1:11" ht="16.5" customHeight="1">
      <c r="A102" s="11" t="s">
        <v>389</v>
      </c>
      <c r="B102" s="11" t="s">
        <v>269</v>
      </c>
      <c r="C102" s="11" t="s">
        <v>388</v>
      </c>
      <c r="D102" s="11" t="s">
        <v>267</v>
      </c>
      <c r="E102" s="11" t="s">
        <v>387</v>
      </c>
      <c r="F102" s="11" t="s">
        <v>412</v>
      </c>
      <c r="G102" s="11" t="s">
        <v>272</v>
      </c>
      <c r="H102" s="13">
        <v>45660</v>
      </c>
      <c r="I102" s="13">
        <v>45660</v>
      </c>
      <c r="J102" s="14">
        <f>I102-H102</f>
        <v>0</v>
      </c>
      <c r="K102" s="11" t="s">
        <v>411</v>
      </c>
    </row>
    <row r="103" spans="1:11" ht="16.5" customHeight="1">
      <c r="A103" s="11" t="s">
        <v>389</v>
      </c>
      <c r="B103" s="11" t="s">
        <v>269</v>
      </c>
      <c r="C103" s="11" t="s">
        <v>388</v>
      </c>
      <c r="D103" s="11" t="s">
        <v>267</v>
      </c>
      <c r="E103" s="11" t="s">
        <v>387</v>
      </c>
      <c r="F103" s="11" t="s">
        <v>410</v>
      </c>
      <c r="G103" s="11" t="s">
        <v>409</v>
      </c>
      <c r="H103" s="13">
        <v>45740</v>
      </c>
      <c r="I103" s="13">
        <v>45740</v>
      </c>
      <c r="J103" s="14">
        <f>I103-H103</f>
        <v>0</v>
      </c>
      <c r="K103" s="11"/>
    </row>
    <row r="147" spans="2:5" ht="16.5" customHeight="1">
      <c r="B147" s="66" t="s">
        <v>408</v>
      </c>
      <c r="C147" s="65"/>
      <c r="D147" s="65"/>
      <c r="E147" s="64"/>
    </row>
  </sheetData>
  <autoFilter ref="A1:K103" xr:uid="{518D651A-181A-4B80-83FC-B22F52DAF647}"/>
  <mergeCells count="1">
    <mergeCell ref="B147:E14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70AFAE0-47C7-4EE6-99DB-55D2574A2D45}">
          <x14:formula1>
            <xm:f>'[ABP_FY''26 Issues v2 (1).xlsx]List'!#REF!</xm:f>
          </x14:formula1>
          <xm:sqref>G17 G20 G1:G15 G25:G26 G29:G44 G47:G71 G73:G85 G87 G102:G103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Jan 25</vt:lpstr>
      <vt:lpstr>Feb 25</vt:lpstr>
      <vt:lpstr>Mar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Daljeet</dc:creator>
  <cp:lastModifiedBy>Daljeet</cp:lastModifiedBy>
  <dcterms:created xsi:type="dcterms:W3CDTF">2026-02-21T05:03:01Z</dcterms:created>
  <dcterms:modified xsi:type="dcterms:W3CDTF">2026-02-21T05:04:27Z</dcterms:modified>
</cp:coreProperties>
</file>
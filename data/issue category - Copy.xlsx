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C:\Users\Daljeet\Desktop\"/>
    </mc:Choice>
  </mc:AlternateContent>
  <xr:revisionPtr revIDLastSave="0" documentId="13_ncr:1_{017E2713-28C7-422C-9902-5D7D28B3F771}" xr6:coauthVersionLast="41" xr6:coauthVersionMax="41" xr10:uidLastSave="{00000000-0000-0000-0000-000000000000}"/>
  <bookViews>
    <workbookView xWindow="-110" yWindow="-110" windowWidth="19420" windowHeight="10420" xr2:uid="{71196FBF-F77C-4191-BBFC-56D8905A1F1C}"/>
  </bookViews>
  <sheets>
    <sheet name="Sheet1" sheetId="1" r:id="rId1"/>
    <sheet name="Sheet2" sheetId="8" r:id="rId2"/>
    <sheet name="Jan 25" sheetId="2" r:id="rId3"/>
    <sheet name="Feb 25" sheetId="3" r:id="rId4"/>
    <sheet name="Mar 25" sheetId="4" r:id="rId5"/>
    <sheet name="Apr 25" sheetId="5" r:id="rId6"/>
    <sheet name="May 25" sheetId="6" r:id="rId7"/>
    <sheet name="Jun 25" sheetId="7" r:id="rId8"/>
  </sheets>
  <externalReferences>
    <externalReference r:id="rId9"/>
  </externalReferences>
  <definedNames>
    <definedName name="_xlnm._FilterDatabase" localSheetId="5" hidden="1">'Apr 25'!$A$1:$L$89</definedName>
    <definedName name="_xlnm._FilterDatabase" localSheetId="3" hidden="1">'Feb 25'!$A$1:$M$1</definedName>
    <definedName name="_xlnm._FilterDatabase" localSheetId="2" hidden="1">'Jan 25'!$A$1:$K$11</definedName>
    <definedName name="_xlnm._FilterDatabase" localSheetId="4" hidden="1">'Mar 25'!$A$1:$K$103</definedName>
    <definedName name="_xlnm._FilterDatabase" localSheetId="6" hidden="1">'May 25'!$A$1:$L$29</definedName>
    <definedName name="_xlnm._FilterDatabase" localSheetId="0" hidden="1">Sheet1!$A$1:$E$131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0" i="7" l="1"/>
  <c r="J9" i="7"/>
  <c r="J8" i="7"/>
  <c r="J7" i="7"/>
  <c r="J6" i="7"/>
  <c r="J5" i="7"/>
  <c r="J4" i="7"/>
  <c r="J3" i="7"/>
  <c r="J2" i="7"/>
  <c r="J29" i="6"/>
  <c r="J22" i="6"/>
  <c r="J21" i="6"/>
  <c r="J20" i="6"/>
  <c r="J19" i="6"/>
  <c r="J18" i="6"/>
  <c r="J17" i="6"/>
  <c r="J16" i="6"/>
  <c r="J15" i="6"/>
  <c r="J14" i="6"/>
  <c r="J13" i="6"/>
  <c r="J12" i="6"/>
  <c r="J11" i="6"/>
  <c r="J10" i="6"/>
  <c r="J9" i="6"/>
  <c r="J8" i="6"/>
  <c r="J7" i="6"/>
  <c r="J6" i="6"/>
  <c r="J5" i="6"/>
  <c r="J4" i="6"/>
  <c r="J3" i="6"/>
  <c r="J2" i="6"/>
  <c r="J151" i="5"/>
  <c r="J150" i="5"/>
  <c r="J149" i="5"/>
  <c r="J148" i="5"/>
  <c r="J147" i="5"/>
  <c r="J146" i="5"/>
  <c r="J145" i="5"/>
  <c r="J144" i="5"/>
  <c r="J143" i="5"/>
  <c r="J142" i="5"/>
  <c r="J141" i="5"/>
  <c r="J140" i="5"/>
  <c r="J139" i="5"/>
  <c r="J138" i="5"/>
  <c r="J137" i="5"/>
  <c r="J136" i="5"/>
  <c r="J135" i="5"/>
  <c r="J134" i="5"/>
  <c r="J133" i="5"/>
  <c r="J132" i="5"/>
  <c r="J131" i="5"/>
  <c r="J130" i="5"/>
  <c r="J129" i="5"/>
  <c r="J128" i="5"/>
  <c r="J127" i="5"/>
  <c r="J126" i="5"/>
  <c r="J125" i="5"/>
  <c r="J124" i="5"/>
  <c r="J123" i="5"/>
  <c r="J122" i="5"/>
  <c r="J121" i="5"/>
  <c r="J120" i="5"/>
  <c r="J119" i="5"/>
  <c r="J89" i="5"/>
  <c r="J88" i="5"/>
  <c r="J87" i="5"/>
  <c r="J86" i="5"/>
  <c r="J85" i="5"/>
  <c r="J84" i="5"/>
  <c r="J83" i="5"/>
  <c r="J82" i="5"/>
  <c r="J81" i="5"/>
  <c r="J51" i="5"/>
  <c r="J50" i="5"/>
  <c r="J49" i="5"/>
  <c r="J48" i="5"/>
  <c r="J47" i="5"/>
  <c r="J46" i="5"/>
  <c r="J45" i="5"/>
  <c r="J44" i="5"/>
  <c r="J43" i="5"/>
  <c r="J42" i="5"/>
  <c r="J41" i="5"/>
  <c r="J40" i="5"/>
  <c r="J3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J8" i="5"/>
  <c r="J7" i="5"/>
  <c r="J6" i="5"/>
  <c r="J5" i="5"/>
  <c r="J4" i="5"/>
  <c r="J3" i="5"/>
  <c r="J2" i="5"/>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73"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2" i="3"/>
  <c r="J3" i="3"/>
  <c r="J4" i="3"/>
  <c r="J5" i="3"/>
  <c r="J6" i="3"/>
  <c r="J7" i="3"/>
  <c r="J8" i="3"/>
  <c r="J9" i="3"/>
  <c r="J10" i="3"/>
  <c r="J11" i="3"/>
  <c r="J12" i="3"/>
  <c r="J2" i="2"/>
  <c r="J3" i="2"/>
  <c r="J4" i="2"/>
  <c r="J5" i="2"/>
  <c r="J6" i="2"/>
  <c r="J7" i="2"/>
  <c r="J8" i="2"/>
  <c r="J9" i="2"/>
  <c r="J10" i="2"/>
  <c r="J11" i="2"/>
  <c r="J12" i="2"/>
  <c r="J18" i="2"/>
  <c r="J19" i="2"/>
  <c r="J20" i="2"/>
  <c r="J21" i="2"/>
  <c r="J22" i="2"/>
  <c r="J23" i="2"/>
  <c r="J24" i="2"/>
  <c r="J25" i="2"/>
  <c r="J26" i="2"/>
  <c r="J27" i="2"/>
  <c r="J28" i="2"/>
  <c r="J29" i="2"/>
  <c r="J30" i="2"/>
  <c r="J31" i="2"/>
  <c r="J32" i="2"/>
  <c r="J145" i="2"/>
  <c r="J146" i="2"/>
</calcChain>
</file>

<file path=xl/sharedStrings.xml><?xml version="1.0" encoding="utf-8"?>
<sst xmlns="http://schemas.openxmlformats.org/spreadsheetml/2006/main" count="2944" uniqueCount="804">
  <si>
    <t>New CC update for Depreciation, integration movement</t>
  </si>
  <si>
    <t>FP</t>
  </si>
  <si>
    <t>Masterdata - incorporation in system</t>
  </si>
  <si>
    <t>Sales Volume in ISWP Rod Mill Plant still not reflecting</t>
  </si>
  <si>
    <t>Masterdata - delayed input from user</t>
  </si>
  <si>
    <t xml:space="preserve">TM Allocation in ABP FY26 is still visible </t>
  </si>
  <si>
    <t>TCIL</t>
  </si>
  <si>
    <t>System linkage issue</t>
  </si>
  <si>
    <t>The consumption and transfer figures for RM grade WR3M for MIG wire sales are not appearing in module 2.03 RM planning volume and Cost</t>
  </si>
  <si>
    <t>Wires</t>
  </si>
  <si>
    <t>Difference in local and integrated version</t>
  </si>
  <si>
    <t>TM cost was not flowing</t>
  </si>
  <si>
    <t>Agrico</t>
  </si>
  <si>
    <t xml:space="preserve">Steel cost addition in list of new products added in master </t>
  </si>
  <si>
    <t>Tubes</t>
  </si>
  <si>
    <t>Bearings export sales volume planning data not reflecting correct. Huge value appearing as ABP FY'25 Data also showing in summary for bearings</t>
  </si>
  <si>
    <t>Bearings</t>
  </si>
  <si>
    <t>Integration data was not flowing for many tracks like TCIL, IBMD, etc</t>
  </si>
  <si>
    <t>Time filter not updated for ABP FY'26</t>
  </si>
  <si>
    <t>The generation nos for By Product Gases are not appearing in Cost Sheet</t>
  </si>
  <si>
    <t>Purchase power cost (rate) in WPP for power rate not flowing</t>
  </si>
  <si>
    <t>Differences in rates and WPP after transferring data from local to integrated version</t>
  </si>
  <si>
    <t>Depreciation not flowing</t>
  </si>
  <si>
    <t>TSG</t>
  </si>
  <si>
    <t>Lime fines closing rate diff in WS and integration</t>
  </si>
  <si>
    <t>After mapping pig iron own, the data is not flowing in BOF</t>
  </si>
  <si>
    <t>Version movement issue from working -submission to integrated version</t>
  </si>
  <si>
    <t>Lab inventory report slab cons is not appearing</t>
  </si>
  <si>
    <t>Unable to move from working submission to integrated version</t>
  </si>
  <si>
    <t>Unable to pull data from Inbound Action in Anaplan</t>
  </si>
  <si>
    <t>SPC and Purchase Billet data is not reflecting in integrated version</t>
  </si>
  <si>
    <t>HMC coke cost not getting pushed to TSK and TSM</t>
  </si>
  <si>
    <t>Different line item was published in the FY'26 Dashboard's grid due to which correct data was not appearing.</t>
  </si>
  <si>
    <t>Coke Plant Prodn and Coke Consumption Rate cannot be seen in cons. Rate mat bal screen, but it correctly seen in other screen</t>
  </si>
  <si>
    <t>Mismatch in Working and Integrated version</t>
  </si>
  <si>
    <t>RM</t>
  </si>
  <si>
    <t>Joda IOPP Plant Output Volume is getting calculated double the actual amount.</t>
  </si>
  <si>
    <t>Unable to view JMBL Cess in any of the OMQ Cost sheets( Noamundi, Vijaya II and OMQ Total Cost sheet.</t>
  </si>
  <si>
    <t>Total not tallying with the allocated cost in TSJ WCDC module</t>
  </si>
  <si>
    <t>GAGW</t>
  </si>
  <si>
    <t>Unable to pull HM /IO</t>
  </si>
  <si>
    <t>System Access issue</t>
  </si>
  <si>
    <t>GW TSK data was not getting pulled</t>
  </si>
  <si>
    <t>ABP'26_Iron Ore and Coal Distribution is not flowing in IM</t>
  </si>
  <si>
    <t>Utility data not available in Blast Furnace</t>
  </si>
  <si>
    <t>Ferroshot rate logic is weighted average of scraps in anaplan while there is no such planning done</t>
  </si>
  <si>
    <t>Logic mistakes in excel vs system</t>
  </si>
  <si>
    <t>Milwise LP data of sales was reuired which was not planned. Later M&amp;S made the data</t>
  </si>
  <si>
    <t>Difference in GAGW cost</t>
  </si>
  <si>
    <t>GAGW data not matching in Anaplan w.r.t manual planning</t>
  </si>
  <si>
    <t>Weighted average inventory rate for transferring to TSM  - Difference in rates</t>
  </si>
  <si>
    <t>Logic for transfers, coke breeze changed</t>
  </si>
  <si>
    <t>TSMD</t>
  </si>
  <si>
    <t>Delayed logic changes from users</t>
  </si>
  <si>
    <t>Many new logics incorporated during ABP</t>
  </si>
  <si>
    <t>FAMD</t>
  </si>
  <si>
    <t>Rate incorrectly flowing for Coke Breeze</t>
  </si>
  <si>
    <t>Nitrogen Consumption in pellet plant</t>
  </si>
  <si>
    <t>Billet consumption cost not coming correct</t>
  </si>
  <si>
    <t>Allocation of cost over MOR in different areas</t>
  </si>
  <si>
    <t xml:space="preserve">Flaring of BF,CO &amp; LD in GCal  </t>
  </si>
  <si>
    <t>Formula changed for saleable FHCR, FHCR inventory in CRM volume  planning,  HR input of CRM Bara, weighted average calculation of CRM bara inventory</t>
  </si>
  <si>
    <t>There is a exclusion logic change to remove the impact</t>
  </si>
  <si>
    <t>Purchase Pellet's impact in Pellet Plant</t>
  </si>
  <si>
    <t>Vijaya II Change in WIP is not appearing correctly on account of wrong production rate.</t>
  </si>
  <si>
    <t>Incorrect moisture content is flowing in system</t>
  </si>
  <si>
    <t>Multiple versions issue in excel</t>
  </si>
  <si>
    <t xml:space="preserve">Rate of scrap is not reflecting correctly in Anaplan </t>
  </si>
  <si>
    <t>Rate of ferro alloys is not reflecting correctly in Anaplan (dolomite, desulphur, artificial. graphite)</t>
  </si>
  <si>
    <t>Change in rate of TSK and freight in inventory</t>
  </si>
  <si>
    <t xml:space="preserve">Difference in monthwise planning of TSJ common GA cost due to different logics considered by CMAG and BAG SM for allocation </t>
  </si>
  <si>
    <t xml:space="preserve">SPC and freight cost difference </t>
  </si>
  <si>
    <t>Rate of ferro alloys is not reflecting correctly in Anaplan (dolomite, desulphur, nitrovan, aluminium notch bar, maganesium metal flake etc.)</t>
  </si>
  <si>
    <t xml:space="preserve">Difference in CMG wages, LD gas rate, BF gas rate, power , argon, mixed gas, MP nitrogen </t>
  </si>
  <si>
    <t>Transfer of FHCR from TSK and TSM is not aligned with TSJ is Anaplan</t>
  </si>
  <si>
    <t>Rate of scrap is not reflecting correctly in Anaplan ; difference in freight also</t>
  </si>
  <si>
    <t xml:space="preserve">Difference in assumption updated for lime </t>
  </si>
  <si>
    <t>Iron ore distribution data mismatch due to different excel versions</t>
  </si>
  <si>
    <t xml:space="preserve">Abnormal cost and POP difference </t>
  </si>
  <si>
    <t>Carboloux new material mapping</t>
  </si>
  <si>
    <t>Mapping missing from user</t>
  </si>
  <si>
    <t xml:space="preserve"> Depreciation mismatch in FP and BP</t>
  </si>
  <si>
    <t>Addtion of Coke breeze imported under  Pellet plant</t>
  </si>
  <si>
    <t>Mismatches in depreciation.</t>
  </si>
  <si>
    <t>Requirement of powder bentonite, ASRF etc not mapped propoerly</t>
  </si>
  <si>
    <t>Residual TSG fines not flowing</t>
  </si>
  <si>
    <t>BF coke mapping not done correctly leading to gap in Geo PL</t>
  </si>
  <si>
    <t>Depreciation mismatch in FP and BP</t>
  </si>
  <si>
    <t>Coal rate and fuel rate is showing wrong in report no. 7.3</t>
  </si>
  <si>
    <t>Clo was not mapped last year</t>
  </si>
  <si>
    <t>Additional Amt issue in Joda and Vijiya II</t>
  </si>
  <si>
    <t>Omq Vol Planning, yeild % and excavation</t>
  </si>
  <si>
    <t>Mismatch in Tubes numbers pushed to Financial planning model</t>
  </si>
  <si>
    <t>Lump &amp; dolo lime rates are not flowing to SM Cost sheet</t>
  </si>
  <si>
    <t>GAGW nos not flowing correctly</t>
  </si>
  <si>
    <t xml:space="preserve">DET Sales for LP area is reflecting ~144kt in Inbound  Data In integration model (9B), however, in TMT Mat balance sales is showing as ~129kt </t>
  </si>
  <si>
    <t>Addition of Vijay2 LG fines in IM iron and coal distribution module</t>
  </si>
  <si>
    <t>Rate of few ferro alloys missing in anaplan</t>
  </si>
  <si>
    <t>Scrap materials and scrap rate not visible in anaplan</t>
  </si>
  <si>
    <t>Bulk Rate are not flowing for materials - Limestone  CP, Pyroxinite, ESP Dust etc...</t>
  </si>
  <si>
    <t>New scheme addition in depreciation</t>
  </si>
  <si>
    <t>User knowledge gap</t>
  </si>
  <si>
    <t>Workshops conducted with users to complete ABP inputs and close Geo PL</t>
  </si>
  <si>
    <t>User KT issue</t>
  </si>
  <si>
    <t>IBMD</t>
  </si>
  <si>
    <t>Helping user in updating R&amp;M cost</t>
  </si>
  <si>
    <t>Data mismatch in working and submission and integrated version</t>
  </si>
  <si>
    <t xml:space="preserve">Data not flowing correctly from IBMD to IM </t>
  </si>
  <si>
    <t>Plant to Plant transfer's data was not entered by user.</t>
  </si>
  <si>
    <t>IO lumps Specific consumption MatBal issue</t>
  </si>
  <si>
    <t>Coal Quantity mismatch in Anaplan</t>
  </si>
  <si>
    <t>Version Setup was not setup properly(user awareness)</t>
  </si>
  <si>
    <t>Shares service data is showing in Integrated version but not showing in working &amp; submission version</t>
  </si>
  <si>
    <t>Page was not refreshed properly(user awareness).</t>
  </si>
  <si>
    <t>Specific consumption and qty is not flowing to cost report</t>
  </si>
  <si>
    <t>Refresh rate's action wasnt run by user</t>
  </si>
  <si>
    <t xml:space="preserve">RMHS data is not reflecting </t>
  </si>
  <si>
    <t>Depreciation issue - Anaplan ABP FY'26</t>
  </si>
  <si>
    <t>Rates are not coming in Kalamang IO in ABP FY 26</t>
  </si>
  <si>
    <t>BRPL &amp; Purchase pellet rate not showing Anaplan cost sheet</t>
  </si>
  <si>
    <t>Compensation Cess - Wet Coal (Rs/T) is not flowing to Cost Sheet</t>
  </si>
  <si>
    <t>Coal &amp; IO ka despatch qty is not flowing to IM from RM</t>
  </si>
  <si>
    <t>RMHS cost not flowing correctly</t>
  </si>
  <si>
    <t>Aggregation Mapping was missing and refresh rate’s action was not ran</t>
  </si>
  <si>
    <t>Extruded Briquette’s Consumption Cost(Rs/T) was not flowing to BF’s Cost Sheet</t>
  </si>
  <si>
    <t>Since rate is coming through central assumption so we had to select cost head's drivers accordingly</t>
  </si>
  <si>
    <t>EPA Pellet not flowing to cost sheet</t>
  </si>
  <si>
    <t>IT chargeback is not flowing in cost sheet</t>
  </si>
  <si>
    <t>Wages is not shown in HMC cost sheet</t>
  </si>
  <si>
    <t>Gross Coke’s Mappings were missing to split Coke Breeze</t>
  </si>
  <si>
    <t>Coke Breeze cost is not reflected in pellet cost sheet</t>
  </si>
  <si>
    <t>Imported coal cost is not flowing from Other Cost</t>
  </si>
  <si>
    <t>Moisture Content was not flowing to Coke Plants.</t>
  </si>
  <si>
    <t>Grid to see HMC Production was already published, user was looking in different grid</t>
  </si>
  <si>
    <t>HMC prod cannot be viewed in report 7.1. Request you to help.</t>
  </si>
  <si>
    <t>Kalamang CLO Despatches is not appearing in Royalty Planning Sheet</t>
  </si>
  <si>
    <t>The changes in Noamundi IOPP ROM is not visible in Royalty Planning sheet</t>
  </si>
  <si>
    <t>In OMQ Cost Planning, Kalamang Change in WIP is appearing incorrect as it is showing closing stock whereas in actual there is no closing stock as per system</t>
  </si>
  <si>
    <t>Add Kalamang CLO in Kalamang FG Costing sheet and also cost without royalty as both these elements are not being visible</t>
  </si>
  <si>
    <t>Incorrect NR in OMQ POP</t>
  </si>
  <si>
    <t xml:space="preserve">Opening stock in QSE but are still unable to view the inventory for the same </t>
  </si>
  <si>
    <t xml:space="preserve">Jharia BCCL Volumes is showing different nos in different places </t>
  </si>
  <si>
    <t xml:space="preserve">Despatch nos are distorted( highly inflated)  in OMQ FG Mat Bal </t>
  </si>
  <si>
    <t xml:space="preserve">HSD Rates was not flowing  </t>
  </si>
  <si>
    <t>For Vijaya II, Royalty per tonne ( Royalty, DMF, NMET) etc are not appearing even though we have entered Royalty rates in Assumption sheet.</t>
  </si>
  <si>
    <t xml:space="preserve">OMQ Cost sheets look distorted making it difficult to check nos </t>
  </si>
  <si>
    <t xml:space="preserve">Own clean coal and output not visible </t>
  </si>
  <si>
    <t>Helping users by showing them how to refer FY25 for their references</t>
  </si>
  <si>
    <t>Helping users to upload bulk/strategic procurement rates</t>
  </si>
  <si>
    <t>Helping users to upload calendar, central assumptions</t>
  </si>
  <si>
    <t>Helping users to upload GAGW monthly allocation percentage for monthly plan data</t>
  </si>
  <si>
    <t>Helping users to upload GAGW plan data for all tracks</t>
  </si>
  <si>
    <t>Helping users to use features of drill down , pivot etc to take download of the file from system as per requirement</t>
  </si>
  <si>
    <t>Helping in reconciling integration data pushed by other tracks like depreciation, IT chargeback, GWTM</t>
  </si>
  <si>
    <t>Helping in version movement for all tracks</t>
  </si>
  <si>
    <t>Helping in updating driver set up for new additions of CC or CH or materials and add in cost sheets, inventory , Geo PL</t>
  </si>
  <si>
    <t>Helping in running inbound/outbound integration actions to push/pull the data in the system from/to other tracks</t>
  </si>
  <si>
    <t>Helping users to update data like production numbers, SPC, Stock for mat bal and inventory, depreciation allocation, IT chargeback allocation, abnormal cost, freight, Wages, KPI requirements, rates, transfer quantities and rates</t>
  </si>
  <si>
    <t>Issue Description</t>
  </si>
  <si>
    <t>Remarks</t>
  </si>
  <si>
    <t>Description</t>
  </si>
  <si>
    <t>Issue</t>
  </si>
  <si>
    <t>IT : System Issue</t>
  </si>
  <si>
    <t>Issues in uploading depreciation for addition</t>
  </si>
  <si>
    <t>Megha</t>
  </si>
  <si>
    <t>Deepti</t>
  </si>
  <si>
    <t>Depreciation</t>
  </si>
  <si>
    <t>Workshop</t>
  </si>
  <si>
    <t>User : Business Logic Issue</t>
  </si>
  <si>
    <t>Guided user how to to move the data from working and submission to integrated version</t>
  </si>
  <si>
    <t>User : Master Data</t>
  </si>
  <si>
    <t>LD Sludge Briquette – Mapping needs to be under HM+Scrap</t>
  </si>
  <si>
    <t>Yenugu V</t>
  </si>
  <si>
    <t>Ijas Azad</t>
  </si>
  <si>
    <t>TSM Upstream</t>
  </si>
  <si>
    <t xml:space="preserve">SM </t>
  </si>
  <si>
    <t xml:space="preserve">Offline </t>
  </si>
  <si>
    <t>lab inventory report slab cons is not appearing</t>
  </si>
  <si>
    <t>User Awareness</t>
  </si>
  <si>
    <t>Guided user on Dep allocation for new CC's</t>
  </si>
  <si>
    <t>Pending with IBMD team</t>
  </si>
  <si>
    <t>lime fines rate not flowign</t>
  </si>
  <si>
    <t>lump &amp; dolo lime rates are not flowing to SM Cost sheet</t>
  </si>
  <si>
    <t>Rates were pending with IM and IBDM team</t>
  </si>
  <si>
    <t>Iron ore &amp; Pig iron rates are not flowing</t>
  </si>
  <si>
    <t>Diff between data updated by SS team and SM teams offline working</t>
  </si>
  <si>
    <t>diff in R&amp;M for lcp &amp; dolo &amp; steam details are not flowing</t>
  </si>
  <si>
    <t xml:space="preserve">Guidede user on where to check GAGW data </t>
  </si>
  <si>
    <t>Was searching under wrong code</t>
  </si>
  <si>
    <t xml:space="preserve">silico manganese not available for planning - </t>
  </si>
  <si>
    <t>User : Mappings Missing</t>
  </si>
  <si>
    <t>planned the CR scrap in scrap module but it is not flowing in anaplan cost sheet</t>
  </si>
  <si>
    <t>after mapping pig iron own the data is not flowing in BOF</t>
  </si>
  <si>
    <t>Guided user on Wages input in OC and how to pull it back to SM</t>
  </si>
  <si>
    <t>Version movement issue Anaplan</t>
  </si>
  <si>
    <t>Guided user on the data flow of M&amp;S from integration</t>
  </si>
  <si>
    <t>Meltin Scrap not in HM+Scrap</t>
  </si>
  <si>
    <t>Anaplan SM action issue</t>
  </si>
  <si>
    <t>Trinath Sahoo</t>
  </si>
  <si>
    <t>TSK</t>
  </si>
  <si>
    <t>UAT Point</t>
  </si>
  <si>
    <t>GW cost is not coming in anaplan RCL Cost shee</t>
  </si>
  <si>
    <r>
      <rPr>
        <sz val="11"/>
        <color rgb="FF000000"/>
        <rFont val="Aptos"/>
        <family val="2"/>
      </rPr>
      <t xml:space="preserve">Rate is in sync with Integration model. It has been wrongly updated by concerned team in </t>
    </r>
    <r>
      <rPr>
        <b/>
        <sz val="11"/>
        <color rgb="FF000000"/>
        <rFont val="Aptos"/>
        <family val="2"/>
      </rPr>
      <t>integration model itself</t>
    </r>
    <r>
      <rPr>
        <sz val="11"/>
        <color rgb="FF000000"/>
        <rFont val="Aptos"/>
        <family val="2"/>
      </rPr>
      <t>.</t>
    </r>
  </si>
  <si>
    <t>Silico Manganese 60/14 – Lumps not reflecting in SM</t>
  </si>
  <si>
    <t>Rate for Iron Oxide CRM not reflecting in SM</t>
  </si>
  <si>
    <t>GP Crop End’s rate is wrong for Mar’26 in</t>
  </si>
  <si>
    <t>UAT point</t>
  </si>
  <si>
    <t>CAL Rate not considered for SCRAP CRCA CONSOLIDATED</t>
  </si>
  <si>
    <r>
      <t xml:space="preserve">Mismathc in </t>
    </r>
    <r>
      <rPr>
        <sz val="11"/>
        <color rgb="FF000000"/>
        <rFont val="Aptos Narrow"/>
        <family val="2"/>
        <charset val="1"/>
      </rPr>
      <t>HR crop end &amp; CR crop end quantity</t>
    </r>
  </si>
  <si>
    <t>Diff found between IBMD rate and TSK team rate</t>
  </si>
  <si>
    <t>TSK Standard rate for all scrap materials are not showing in integration model.</t>
  </si>
  <si>
    <t>Diff found between procurement team rate and TSK team rate</t>
  </si>
  <si>
    <t>Bulk commodity rate in anaplan</t>
  </si>
  <si>
    <t>Not able to Move Data in Anaplan</t>
  </si>
  <si>
    <t>Sanjeev</t>
  </si>
  <si>
    <t>TSM Downstream</t>
  </si>
  <si>
    <t>time dimension in Opening inventory  in 1.4.6 CRM material Balancing.</t>
  </si>
  <si>
    <t>Working submission and integrated not matching</t>
  </si>
  <si>
    <t>Guided user on how to run outbound action</t>
  </si>
  <si>
    <t>Guided user to update the figures in WIP, whcih was previously left out for planning</t>
  </si>
  <si>
    <t>Guided user to do navigation to WCDC Pages and SM app</t>
  </si>
  <si>
    <t>Guided user on how to run inbound action</t>
  </si>
  <si>
    <t>Guided user how to push data from SM to integration model</t>
  </si>
  <si>
    <t>Guided user on where to check inventory and explained the working of invnentory and it's impact on cost sheet</t>
  </si>
  <si>
    <t>Guided user on where to input Opening Stock and rate for downstream</t>
  </si>
  <si>
    <t>Guided user on where to input production figures</t>
  </si>
  <si>
    <t>Guided user on how to input data in Anaplan by referring the FY25 App</t>
  </si>
  <si>
    <t>Purchase and Spc volume version movement is not working</t>
  </si>
  <si>
    <t>Rinisha Dey</t>
  </si>
  <si>
    <t>TSJ-LP</t>
  </si>
  <si>
    <t>Offline</t>
  </si>
  <si>
    <t xml:space="preserve">Guided user on version movement </t>
  </si>
  <si>
    <t>Guided user on how to add new cost centre (ISWP) for internal transfer</t>
  </si>
  <si>
    <t>Guided user on how to push scrap cons to integration</t>
  </si>
  <si>
    <t>USer : Master Data</t>
  </si>
  <si>
    <t>146002402 Material Addition</t>
  </si>
  <si>
    <t>Guided user on where to input SPC Figures</t>
  </si>
  <si>
    <t>Guided user on Dep allocation logics in Anaplan for SM</t>
  </si>
  <si>
    <t>TSJ - LP</t>
  </si>
  <si>
    <t xml:space="preserve">Guided user on where to input Opening Stock </t>
  </si>
  <si>
    <t>Guided user on where to check the pushed numbers from SM in integration view</t>
  </si>
  <si>
    <t>Guided user on where to input materia by product assumptions</t>
  </si>
  <si>
    <t>Guided user on how to push prod data to integration</t>
  </si>
  <si>
    <t>WCDC Access Issue</t>
  </si>
  <si>
    <t>RInisha Dey</t>
  </si>
  <si>
    <t xml:space="preserve"> Master Data Issue</t>
  </si>
  <si>
    <t xml:space="preserve">ISWP Plant code issue </t>
  </si>
  <si>
    <t>SM</t>
  </si>
  <si>
    <t>NMB Composite version import not working</t>
  </si>
  <si>
    <t>neha.kumari1@tatasteel.com</t>
  </si>
  <si>
    <t>Neha Kumari</t>
  </si>
  <si>
    <t>TSJ</t>
  </si>
  <si>
    <t>NMB</t>
  </si>
  <si>
    <t>M&amp;S User not able to export data across version and run action for export in anaplan</t>
  </si>
  <si>
    <t>M&amp;S</t>
  </si>
  <si>
    <t>ABP FY 26 Anaplan Queries</t>
  </si>
  <si>
    <t>shubham.chowdhury@tatasteel.com</t>
  </si>
  <si>
    <t>Enhancement in trasfer price integration / action</t>
  </si>
  <si>
    <t>Jyoti</t>
  </si>
  <si>
    <t>Neeru Bhasin</t>
  </si>
  <si>
    <t>Enhancements for inventory</t>
  </si>
  <si>
    <t>Ruchika</t>
  </si>
  <si>
    <t>Wires action correction - GAGW</t>
  </si>
  <si>
    <t>Enhancements in Expense / Segment wise calculation</t>
  </si>
  <si>
    <t xml:space="preserve">ISWP cost sheet </t>
  </si>
  <si>
    <t>Sursain Singh</t>
  </si>
  <si>
    <t>Service request for BRPL requirement in Other Cost</t>
  </si>
  <si>
    <t>Swati Verma</t>
  </si>
  <si>
    <t>Anshu</t>
  </si>
  <si>
    <t>OC</t>
  </si>
  <si>
    <t>Instead of serial number, IO numbers are coming as highlighted. Pls check:</t>
  </si>
  <si>
    <t>Anaplan Onetime FY26</t>
  </si>
  <si>
    <t>for tagging of IT chargeback cost centers in Anaplan Other Cost</t>
  </si>
  <si>
    <t xml:space="preserve"> Overall GAGW ABP FY26: Unable to see the % updation input Tabs for Quarters in Anaplan for module 2.2 Approved Budget-Overall GAGW Cost (Monthly/Lakhs)</t>
  </si>
  <si>
    <t>Ekta Sharma</t>
  </si>
  <si>
    <t>TSM Tubes 2.06 Geo P&amp;L Khopoli not matching</t>
  </si>
  <si>
    <t>TSM</t>
  </si>
  <si>
    <t>Service request for applying time filter in Tubes Production report view -  Anaplan production</t>
  </si>
  <si>
    <t xml:space="preserve">Issue with Downloaded file for Anaplan </t>
  </si>
  <si>
    <t>Nitin  Rathore</t>
  </si>
  <si>
    <t>Bearing</t>
  </si>
  <si>
    <t>LP Version Issue</t>
  </si>
  <si>
    <t>LP Sales Volume Mismatch - ANAPLAN SM</t>
  </si>
  <si>
    <t>No. of days</t>
  </si>
  <si>
    <t>Resolved on</t>
  </si>
  <si>
    <t xml:space="preserve">Raised on </t>
  </si>
  <si>
    <t>Issue category</t>
  </si>
  <si>
    <t>Ticket Description</t>
  </si>
  <si>
    <t>Requester</t>
  </si>
  <si>
    <t>IT Lead</t>
  </si>
  <si>
    <t>Location</t>
  </si>
  <si>
    <t xml:space="preserve">Track </t>
  </si>
  <si>
    <t>Ticket No</t>
  </si>
  <si>
    <t>Bhawna Singh</t>
  </si>
  <si>
    <t>TSJ-FP</t>
  </si>
  <si>
    <t>Offine</t>
  </si>
  <si>
    <t>IT: Change</t>
  </si>
  <si>
    <t>Megha Bajaj</t>
  </si>
  <si>
    <t>Deprection</t>
  </si>
  <si>
    <t>6120020 GL was not mapped for Geo P&amp;L for Nest in</t>
  </si>
  <si>
    <t>Ankita Agarwal</t>
  </si>
  <si>
    <t>S&amp;S Nestin</t>
  </si>
  <si>
    <t>Mail</t>
  </si>
  <si>
    <t>Version import not working for NMB Alliance and ventures</t>
  </si>
  <si>
    <t>Anaplan support in PC- TCIL</t>
  </si>
  <si>
    <t>Shruti Kumari</t>
  </si>
  <si>
    <t>Anaplan- Total CC Final Cost Allocation.</t>
  </si>
  <si>
    <t>Anaplan support for PC- TCIL(Tinplate)</t>
  </si>
  <si>
    <t>FW: Error at the time of outbound integration in Anaplan-Inventory</t>
  </si>
  <si>
    <t>Material code insert in Anaplan (FAMD)</t>
  </si>
  <si>
    <t>Nitin Sharma</t>
  </si>
  <si>
    <t>Data Not flowing into Anaplan</t>
  </si>
  <si>
    <t>Rakesh Raushan</t>
  </si>
  <si>
    <t>Raised on (date and time)</t>
  </si>
  <si>
    <t>No issues reported</t>
  </si>
  <si>
    <t>IT : Master Data</t>
  </si>
  <si>
    <t>Missing Material in Anaplan</t>
  </si>
  <si>
    <t>Access was already given</t>
  </si>
  <si>
    <t>Authority for updating volume in Anaplan.</t>
  </si>
  <si>
    <t>Guided user on the wokring of Invnetory and the flow from wt av to next stages and actions to be run</t>
  </si>
  <si>
    <t>Guidede user on scrap credit calculcation logic</t>
  </si>
  <si>
    <t>Yield was not udpated correctly</t>
  </si>
  <si>
    <t>SPC Output mismatch</t>
  </si>
  <si>
    <t>Guided user on where to input Non Prime material and how to push the same to integration</t>
  </si>
  <si>
    <t>Guided user on how to initiate the version movmement</t>
  </si>
  <si>
    <t>Guided user on how to run inbound and outbound actions</t>
  </si>
  <si>
    <t>Explained the allocation logic of depreciation and impact of the same in cost sheets</t>
  </si>
  <si>
    <t xml:space="preserve">Guided user on where to check WSS </t>
  </si>
  <si>
    <t xml:space="preserve">Guided user on the working of GAGW in SM </t>
  </si>
  <si>
    <t>Guided user on where to check integration data in Anaplan</t>
  </si>
  <si>
    <t>Guided user on how to udpate wages in OC page and inbound / outbound actions</t>
  </si>
  <si>
    <t>Guided user on where to udpate the input material figures</t>
  </si>
  <si>
    <t>Guided user on how to udpate the CC to CH mappings</t>
  </si>
  <si>
    <t>Guided user on where to udpate the production figures</t>
  </si>
  <si>
    <t>Due to delay SM team requested manual adjustment which was given on same day.</t>
  </si>
  <si>
    <t>Delay in freight udpation by SPC team</t>
  </si>
  <si>
    <t>Rinsha Dey</t>
  </si>
  <si>
    <t>Guided user on identifying gaps in GeoPL by showing backend calcualtions and other requried reports for closures</t>
  </si>
  <si>
    <t xml:space="preserve">GA Unabsorded diff between offline shared and the one udpated by GA team in anaplan. Manual Adjutment given </t>
  </si>
  <si>
    <t>GA Unabsorbed Cost_ABP FY26_Anaplan</t>
  </si>
  <si>
    <t>SS team had udpated the data in wrong cost centre.</t>
  </si>
  <si>
    <t>Clean CO Gas not flowing in RBM</t>
  </si>
  <si>
    <t>IT : Access</t>
  </si>
  <si>
    <t>Unable to push billet cost due to authorisation issue (screen shot attached)</t>
  </si>
  <si>
    <t>Nut Coke was pending with IM team</t>
  </si>
  <si>
    <t>Nut Coke not flowing</t>
  </si>
  <si>
    <t>Diff found between offline excel rate and IBMD rate in Anaplan</t>
  </si>
  <si>
    <t>Scrap rates not matching</t>
  </si>
  <si>
    <t>Diff found between offline excel rate and Bulk teams rate in Anaplan</t>
  </si>
  <si>
    <t>Bulk Commodities_mismatch ABP FY26</t>
  </si>
  <si>
    <t>DET  Sales not reflecting correctly for TMT</t>
  </si>
  <si>
    <t>Ankit Churiwala</t>
  </si>
  <si>
    <t>Deprectiaion from FP were allcoated in wrong CC .</t>
  </si>
  <si>
    <t>Depreciation CC issue</t>
  </si>
  <si>
    <t>As per existing logic , formula will only work in case of receipt not equal to zero later this logic was removed as per TSG team</t>
  </si>
  <si>
    <t>West Bokaro coal consumption not flowing in MatBal</t>
  </si>
  <si>
    <t>Change in time range for BPPL for FY 26</t>
  </si>
  <si>
    <t>BPPL</t>
  </si>
  <si>
    <t>Geo P/L</t>
  </si>
  <si>
    <t>Display of Cost and  Credit line item was off in the TSK Geo P&amp;L report, hence cost was not showing in the report</t>
  </si>
  <si>
    <t>Arshad</t>
  </si>
  <si>
    <t>Tagging of MRP Scrap metallics with GL is not maintained. This was not planned in the last year. For any new material GL tagging needs to be done in the dashboard.</t>
  </si>
  <si>
    <t>Quantity to be entered upto 3 places of decimal for accurate revenue.</t>
  </si>
  <si>
    <t>Depreciation value for IBMD will not flow from Business plan. This will come directly in FP</t>
  </si>
  <si>
    <t>Logics changes in workshop mode</t>
  </si>
  <si>
    <t>Change in stock logic change</t>
  </si>
  <si>
    <t>Manoj Saha</t>
  </si>
  <si>
    <t>4. Misc Exp to be linked with manual input</t>
  </si>
  <si>
    <t>3. GAGW to be added and linked with GAGW</t>
  </si>
  <si>
    <t>2. Contract Labour to be added</t>
  </si>
  <si>
    <t>1. Granulated slag impacting yield % - this needs to be excluded from scrap % formula</t>
  </si>
  <si>
    <t>changes in Anaplan -PI &amp; DI</t>
  </si>
  <si>
    <t>3 new cost head to be linked</t>
  </si>
  <si>
    <t>Master data addition - Under PI Scrap credits</t>
  </si>
  <si>
    <t>Coke Breeze imported formulae updated.</t>
  </si>
  <si>
    <t>Coke Breeze consumption formulae updated.</t>
  </si>
  <si>
    <t>Coal Imp Anthra consumption formulae updated.</t>
  </si>
  <si>
    <t>Following formulaes were updated during ABP FY26 number updation.</t>
  </si>
  <si>
    <t>Iron ore Transfer price integration</t>
  </si>
  <si>
    <t>NR as per Debtors planning not correct in TSMD Anaplan</t>
  </si>
  <si>
    <t>Action not able to run</t>
  </si>
  <si>
    <t>Ammu</t>
  </si>
  <si>
    <t>LP</t>
  </si>
  <si>
    <t>Formula error in NMB Geo P&amp;L screen</t>
  </si>
  <si>
    <t>Shubham Roy Chowdhury</t>
  </si>
  <si>
    <t>DET hierarchy not getting updated correctly in integration in Anaplan</t>
  </si>
  <si>
    <t>Monthly report not appearing in DI Cost sheet anaplan tsmd</t>
  </si>
  <si>
    <t>Sales value not matching in DI Sheet in TSMD ANAPLAN</t>
  </si>
  <si>
    <t>Pushing data for FP</t>
  </si>
  <si>
    <t>Jyoti Ashok Netravali</t>
  </si>
  <si>
    <t>Mapping updation</t>
  </si>
  <si>
    <t>Cost flowing issue</t>
  </si>
  <si>
    <t>Yield / cost not updated</t>
  </si>
  <si>
    <t>Logic changes</t>
  </si>
  <si>
    <t>ISWP - town &amp; medical</t>
  </si>
  <si>
    <t>Sursain</t>
  </si>
  <si>
    <t>Anaplan Updation_FAMD</t>
  </si>
  <si>
    <t>Sunny Kumar Bhalotia</t>
  </si>
  <si>
    <t>Ankul Kumar</t>
  </si>
  <si>
    <t>Anaplan updation</t>
  </si>
  <si>
    <t xml:space="preserve"> VP E&amp;P Admin &amp; Other Corp Exp- ABP FY26 </t>
  </si>
  <si>
    <t>New CC is not marked in the subset</t>
  </si>
  <si>
    <t>Wires- Anaplan- Issues (Other Cost Planning module)</t>
  </si>
  <si>
    <t>Depreciation cc not marked in the subset</t>
  </si>
  <si>
    <t>Some Depreciation CCs were missing</t>
  </si>
  <si>
    <t>Depreciation , Stores &amp; Central IT cost Mismatch</t>
  </si>
  <si>
    <t>Prasanjit Puhan</t>
  </si>
  <si>
    <t>Users ask to update the logic</t>
  </si>
  <si>
    <t>Mining Cost is not added In Total cost In annaplan</t>
  </si>
  <si>
    <t>Prabina Kumar Barik</t>
  </si>
  <si>
    <t>FW: FAMD- Mn Mines - Differences in the Quarterly and Half Yearly  Figure Amount and COP Anaplan</t>
  </si>
  <si>
    <t xml:space="preserve">Anaplan FY 26 - FAMD </t>
  </si>
  <si>
    <t>Tubes TSJ Anaplan ABP PNote issue</t>
  </si>
  <si>
    <t>New Development in FY26</t>
  </si>
  <si>
    <t>FAMD UAT SiMn plant</t>
  </si>
  <si>
    <t>Ravi Sharma</t>
  </si>
  <si>
    <t>Moisture Content % not pulled</t>
  </si>
  <si>
    <t>Coal rates (Dry) not flowing</t>
  </si>
  <si>
    <t>Anuj Sharma</t>
  </si>
  <si>
    <t>Arati Shaw</t>
  </si>
  <si>
    <t>SS</t>
  </si>
  <si>
    <t>Feasibility of adjustment of Inward wheeling rate</t>
  </si>
  <si>
    <t>Nagendra Panda</t>
  </si>
  <si>
    <t>Since RM hasnt pushed the qty to integration i.e it was not reflecting in IM as well. User can check the data in dashboards published in integration views while pulling or pushing the data.</t>
  </si>
  <si>
    <t>Manoj Kumar Ganta</t>
  </si>
  <si>
    <t>IM</t>
  </si>
  <si>
    <t>Kalinga Keshri Panda</t>
  </si>
  <si>
    <t>RM user has planned and sent the data in wrong CC, all required views are published users can check the data while pushing or pulling the data</t>
  </si>
  <si>
    <t>The material was missing in anaplan</t>
  </si>
  <si>
    <t xml:space="preserve"> Vijay 2 fines - Anaplan IM TSM is missing </t>
  </si>
  <si>
    <t>there was an access issue at organization level in Integration Model which is resolved</t>
  </si>
  <si>
    <t>Connected in Workshop Mode</t>
  </si>
  <si>
    <t>Specific Consumption Inputs for Non Prime Materials and pushing the same to integration model</t>
  </si>
  <si>
    <t>Soumitra Sarangi / Bhawna Singh</t>
  </si>
  <si>
    <t>TSJ- FP</t>
  </si>
  <si>
    <t xml:space="preserve">CRM Volume Planning Grids </t>
  </si>
  <si>
    <t xml:space="preserve">TSJ-FP </t>
  </si>
  <si>
    <t xml:space="preserve">Inbound Outbound Action </t>
  </si>
  <si>
    <t>Bulk Procurement Rates not flowing</t>
  </si>
  <si>
    <t>mapping issues and user awaness regarding the dashboard.</t>
  </si>
  <si>
    <t>Jharia Issues</t>
  </si>
  <si>
    <t>Rajesh Kumar</t>
  </si>
  <si>
    <t>Rashmi Seth</t>
  </si>
  <si>
    <t>one product was not mapping</t>
  </si>
  <si>
    <t>Jharia BCCL Volumes is showing different nos in different places</t>
  </si>
  <si>
    <t>Urja Saraogi</t>
  </si>
  <si>
    <t>mapping was done 2 times by mistake by IT</t>
  </si>
  <si>
    <t>mapping was not done correctly</t>
  </si>
  <si>
    <t>Aditya Panda</t>
  </si>
  <si>
    <t xml:space="preserve"> this was a new requiremnet so it was made in backend but it was missed to be published on frontend</t>
  </si>
  <si>
    <t>unable to view JMBL Cess in any of the OMQ Cost sheets( Noamundi, Vijaya II and OMQ Total Cost sheet.</t>
  </si>
  <si>
    <t>Numbers were changed, history is showing users name</t>
  </si>
  <si>
    <t>Despatch nos are distorted( highly inflated)  in OMQ FG Mat Bal</t>
  </si>
  <si>
    <t>Initially RM had to push data to OC then, pull the rates but action was not run</t>
  </si>
  <si>
    <t>HSD Rates issue</t>
  </si>
  <si>
    <t>For TSM mapping was missing</t>
  </si>
  <si>
    <t>Vijaya II Low grade despatch is wrong</t>
  </si>
  <si>
    <t>user had entered data in wrong sheet</t>
  </si>
  <si>
    <t>User was viewing from wrong hyperlink</t>
  </si>
  <si>
    <t>OMQ Cost sheets look distorted making it difficult to check nos</t>
  </si>
  <si>
    <t>M&amp;S Issue resolved on 24th .User Confirmation on 25th and Master Data issue was resolved on 26th.</t>
  </si>
  <si>
    <t>Transfers from TSJ/TSK not alligned</t>
  </si>
  <si>
    <t>Inbound Integration Action - Issue</t>
  </si>
  <si>
    <t>Since "Coke Other" was new addition, so user have to do all the required mappings in all required CCs and  Versions</t>
  </si>
  <si>
    <t>Bhavika Bansal</t>
  </si>
  <si>
    <t xml:space="preserve">Coke Plant Prodn and Coke Consumption Rate  cannot be seen in 7.3 screen, but it correctly seen in screen 3.1
</t>
  </si>
  <si>
    <t xml:space="preserve">Inbound Integration Action </t>
  </si>
  <si>
    <t>TSJ/ (OC)</t>
  </si>
  <si>
    <t>Medha Agarwal</t>
  </si>
  <si>
    <t>User was veiwing wrong dashboard</t>
  </si>
  <si>
    <t>For Jharia Own  Volume Planning in ABP'26, we have entered raw Coal Volume and yield. However, Own Clean Coal and other Output nos are not appearing. Kindly update.</t>
  </si>
  <si>
    <t>Jharia</t>
  </si>
  <si>
    <t>TSJ - FP</t>
  </si>
  <si>
    <t>Hot Metal Inbound Integration Action Issue</t>
  </si>
  <si>
    <t>Ravindra Kumar Sharma</t>
  </si>
  <si>
    <t xml:space="preserve">Unable to access in Anaplan. Error screenshot as below.
</t>
  </si>
  <si>
    <t>Anaplan was not loading user to restart his system/connect to IT Helpdesk.</t>
  </si>
  <si>
    <t>Moisture content comes from Other Cost's track through Import Action but user was not aware about the flow of the data.</t>
  </si>
  <si>
    <t>Pushig data from one version to another with in Iron Making Track.</t>
  </si>
  <si>
    <t>User was not aware how and where to push the data from one version to another.</t>
  </si>
  <si>
    <t>Pushig data from IM track to other tracks such as Hot Metal</t>
  </si>
  <si>
    <t>User was not aware how to push data from IM track to other traks such as SM, SS etc.</t>
  </si>
  <si>
    <t>Visibility of Inbound/Outbound data in Integration Model.</t>
  </si>
  <si>
    <t>User was not aware how and where to see the inbound and outbound data in Integration Model while all the required pages was available.</t>
  </si>
  <si>
    <t>OMQ</t>
  </si>
  <si>
    <t>Suraj</t>
  </si>
  <si>
    <t>Cost Center addition</t>
  </si>
  <si>
    <t>WB,OMQ &amp; JH</t>
  </si>
  <si>
    <t>Urja,Suraj, Komal</t>
  </si>
  <si>
    <t>mismatch in Working and Integrated version</t>
  </si>
  <si>
    <t>Urja</t>
  </si>
  <si>
    <t>incorrect NR in OMQ POP</t>
  </si>
  <si>
    <t>As confirmed Bhavika Bansal already pushed the wet coal requirement to Integration Model, Other Cost need to run the import action to update the data.</t>
  </si>
  <si>
    <t xml:space="preserve"> Inbound Action wasn’t ran &amp; V2V data movement Action Issue</t>
  </si>
  <si>
    <t>Compensation cess is not been added in HMC Cost sheet</t>
  </si>
  <si>
    <t>Grid is published in Coke’s cost sheet</t>
  </si>
  <si>
    <t>Lime Plant's heirarchy regrouping/planning changes from SM to IM</t>
  </si>
  <si>
    <t>Instead of discussing the requirements first with other loactaions he gave the requirements to IT but later he confirmed, that Lime Plant grouped under Steel making in other Location like TSM, TSK.  So, we go with same grouping for TSJ. This kind of unharmonised requirements planning time during planning.</t>
  </si>
  <si>
    <t>User Awareness&amp; New GLs addition(Values for Pellet Plant were missing in Integration Model, added new GLs and pulled data in IM). There is a logic to enter IT Chargeback Allocation% similar to Depreciation which we have seen earlier, before checking in final IT Chargeback grid you have to enter allocation%. In such cases pls take reference of FY’25 App</t>
  </si>
  <si>
    <t>GW is not correctly flowing in working n submission.-&gt;</t>
  </si>
  <si>
    <t>User Awareness(User to set versions properly while running V2V actions)</t>
  </si>
  <si>
    <t>Procurement is not able to see charcoal qty &amp; Pet coke qty which I have pushed</t>
  </si>
  <si>
    <t>User Awareness(Already pushed to integration model)</t>
  </si>
  <si>
    <t>Raw bentonite cost is bulk procurement is not seen</t>
  </si>
  <si>
    <t>User Awareness(Planning is done under different pellet’s cost centre)</t>
  </si>
  <si>
    <t>Coke Breeze cost in Pellet cost sheet is not flowing correctly</t>
  </si>
  <si>
    <t>User Awareness(As confirmed since Coke Plant’s cost sheet is not completed due to which coke breeze cost is not updated)-</t>
  </si>
  <si>
    <t>Please help in pushing HMC coke cost to TSK n TSM</t>
  </si>
  <si>
    <t>IT Issue(Process to refresh cost sheets was not working properly)</t>
  </si>
  <si>
    <t>Mismatch in Pellet’s Depreciation</t>
  </si>
  <si>
    <t>User Awareness(whenever new GL is coming we have to do the CC to CH mappings)</t>
  </si>
  <si>
    <t>The grid to do the manual input in dashboards, user to check and find.</t>
  </si>
  <si>
    <t>IO freight is not coming from Central Assumptions</t>
  </si>
  <si>
    <t>As we have published all the views user can check the data in integration and then send the comunications accordingly</t>
  </si>
  <si>
    <t>Utility nos. not available in Blast Furnace's page</t>
  </si>
  <si>
    <t>There was a filter applied due to which grid was coming blank</t>
  </si>
  <si>
    <t>Some support CC were missing in master data due to which data was not getting populated in these CCs while pulling the dep data.</t>
  </si>
  <si>
    <t>There was an authorization issue in the data import action</t>
  </si>
  <si>
    <t>RM user had planned the data in different material.</t>
  </si>
  <si>
    <t>These were the new addition in FY26, we have to do proper driver setups. Check and pull the rates properly</t>
  </si>
  <si>
    <t>Addtion of Iron Ore Concentrate CLO-Noamundi under Sinter Plant</t>
  </si>
  <si>
    <t>This is  the new addition in FY26, we have to do proper driver setups. Check and pull the rates properly</t>
  </si>
  <si>
    <t>Page was not refreshed properly</t>
  </si>
  <si>
    <t>Version Setup was not setup properly</t>
  </si>
  <si>
    <t xml:space="preserve"> Depreciation issue - Anaplan ABP FY'26</t>
  </si>
  <si>
    <t>One CC was missing in dep data</t>
  </si>
  <si>
    <t>Freight cost to TSM for Vijaya-2 fines is not flowing</t>
  </si>
  <si>
    <t>As discussed and confirmed over teams, we have developed provision for Inputting the freight values of purchased products like:- EPA Pellet and purchase pellet etc… in Other Cost and pulled the total cost(Material Cost + Freight) in  IM Track</t>
  </si>
  <si>
    <t>Bipin Swain</t>
  </si>
  <si>
    <t>R&amp;M cost input assistance</t>
  </si>
  <si>
    <t>Cost of CC AU3408 not flowing to CC AU3406</t>
  </si>
  <si>
    <t>Generation nos for BYPR gases not appearing in Cost Sheet</t>
  </si>
  <si>
    <t>LP steam rate not flowing to IM</t>
  </si>
  <si>
    <t>LP steam was not planned in SS this year</t>
  </si>
  <si>
    <t>Abhinandan Gupta</t>
  </si>
  <si>
    <t>Assistance in Cost Closure</t>
  </si>
  <si>
    <t>Kalamang Change in WIP is appearing incorrect as it is showing closing stock whereas in actual there is no closing stock as per system</t>
  </si>
  <si>
    <t>Formula correction was required</t>
  </si>
  <si>
    <t>OMQ &amp; JH</t>
  </si>
  <si>
    <t>suraj</t>
  </si>
  <si>
    <t>Version movement from Working to Integration</t>
  </si>
  <si>
    <t>GeoP&amp;L incorrect</t>
  </si>
  <si>
    <t>ABP outbound action issue in PC(Tinplate)</t>
  </si>
  <si>
    <t>Formula Update Anaplan</t>
  </si>
  <si>
    <t>Formula Update</t>
  </si>
  <si>
    <t>Data is not flowing in SiMn 60/15 in Closing (Tons)</t>
  </si>
  <si>
    <t>Mappings updation</t>
  </si>
  <si>
    <t xml:space="preserve">New  Action Creation </t>
  </si>
  <si>
    <t>Error in running outbound action in Anaplan Other Cost Freight</t>
  </si>
  <si>
    <t>Worshop</t>
  </si>
  <si>
    <t>Allocated GAGW to be included in OP dashboard</t>
  </si>
  <si>
    <t>Mapping change of DI products to PI (4)</t>
  </si>
  <si>
    <t>Manual input screen for working capital-inventory for geo p/l integration</t>
  </si>
  <si>
    <t>Depreciation- Integration movement</t>
  </si>
  <si>
    <t>Monika</t>
  </si>
  <si>
    <t>No data in PY app- Inventory Page</t>
  </si>
  <si>
    <t>Correction in Pnote- Trial Mapping</t>
  </si>
  <si>
    <t>backend changes required</t>
  </si>
  <si>
    <t>Rate incorrectly flowing for Coke Breeze. It is flowing from 2 places.</t>
  </si>
  <si>
    <r>
      <t xml:space="preserve">As per the existing logics rate for </t>
    </r>
    <r>
      <rPr>
        <b/>
        <sz val="11"/>
        <color theme="1"/>
        <rFont val="Aptos"/>
        <family val="2"/>
        <charset val="1"/>
      </rPr>
      <t>Coke Breeze</t>
    </r>
    <r>
      <rPr>
        <sz val="11"/>
        <color theme="1"/>
        <rFont val="Aptos"/>
        <family val="2"/>
        <charset val="1"/>
      </rPr>
      <t xml:space="preserve"> were flowing from both </t>
    </r>
    <r>
      <rPr>
        <b/>
        <sz val="11"/>
        <color theme="1"/>
        <rFont val="Aptos"/>
        <family val="2"/>
        <charset val="1"/>
      </rPr>
      <t>Bulk Procurement</t>
    </r>
    <r>
      <rPr>
        <sz val="11"/>
        <color theme="1"/>
        <rFont val="Aptos"/>
        <family val="2"/>
        <charset val="1"/>
      </rPr>
      <t xml:space="preserve"> and </t>
    </r>
    <r>
      <rPr>
        <b/>
        <sz val="11"/>
        <color theme="1"/>
        <rFont val="Aptos"/>
        <family val="2"/>
        <charset val="1"/>
      </rPr>
      <t> CP06.4: Overall Coke Material Balance &amp; Cost Matbal</t>
    </r>
    <r>
      <rPr>
        <sz val="11"/>
        <color theme="1"/>
        <rFont val="Aptos"/>
        <family val="2"/>
        <charset val="1"/>
      </rPr>
      <t xml:space="preserve">, as requested we have included an exception to only consider Cost Matbal modules rate for </t>
    </r>
    <r>
      <rPr>
        <b/>
        <sz val="11"/>
        <color theme="1"/>
        <rFont val="Aptos"/>
        <family val="2"/>
        <charset val="1"/>
      </rPr>
      <t>Coke Breeze</t>
    </r>
    <r>
      <rPr>
        <sz val="11"/>
        <color theme="1"/>
        <rFont val="Aptos"/>
        <family val="2"/>
        <charset val="1"/>
      </rPr>
      <t xml:space="preserve"> in </t>
    </r>
    <r>
      <rPr>
        <b/>
        <sz val="11"/>
        <color theme="1"/>
        <rFont val="Aptos"/>
        <family val="2"/>
        <charset val="1"/>
      </rPr>
      <t>Sinter Cost sheet</t>
    </r>
    <r>
      <rPr>
        <sz val="11"/>
        <color theme="1"/>
        <rFont val="Aptos"/>
        <family val="2"/>
        <charset val="1"/>
      </rPr>
      <t>.</t>
    </r>
  </si>
  <si>
    <t>New Mateiral silico carbide not in integration</t>
  </si>
  <si>
    <t>Rej Billet Rate issue</t>
  </si>
  <si>
    <t xml:space="preserve">Standard rate of rejected billet is Rs.20000/t, however in Anaplan it is reflected as Rs 850/t. Please find below screenshot for your reference.
Request you to look into it and do the needful.
</t>
  </si>
  <si>
    <t>Carbon Cored Wire not flowing to cost sheet</t>
  </si>
  <si>
    <t>Dolomite Bhutan rate issue with CSP team</t>
  </si>
  <si>
    <t>HM rate and IO rate flow issue</t>
  </si>
  <si>
    <t>Guided user for Despatch Cost Journey</t>
  </si>
  <si>
    <t>Guided user for Geo PL Recon</t>
  </si>
  <si>
    <t>authority issue while pulling hot metal production from integration model</t>
  </si>
  <si>
    <t>scrap rates are still not flowing correctly in Anaplan for FP vertical</t>
  </si>
  <si>
    <t>Diff between IBMD team offline working and data input by team in anapaln</t>
  </si>
  <si>
    <t>Mismatc in ferro alloy rate</t>
  </si>
  <si>
    <t>Diff between offline excel and data updated by CSP team</t>
  </si>
  <si>
    <t xml:space="preserve">DEP01_Depreciation from Finance Model </t>
  </si>
  <si>
    <t>Support cost centre was missing</t>
  </si>
  <si>
    <t>Regarding standard rates of Scrap in Anaplan</t>
  </si>
  <si>
    <t>Rates yet to be udpated by IBMD team</t>
  </si>
  <si>
    <t>Shared Services rates not matching with excel</t>
  </si>
  <si>
    <t>Rates updated by SS differ from offline working</t>
  </si>
  <si>
    <t>difference in CMG wages across all facilities of FP</t>
  </si>
  <si>
    <t>CMG Wages updated by SS differ from offline working</t>
  </si>
  <si>
    <t>Material rate not matching with the rate considered in FP-ABP cost sheet</t>
  </si>
  <si>
    <t>mismatch in rate pushed by CSP and offline working</t>
  </si>
  <si>
    <t>CMG wages in LD3 is still appearing as 2.78 cr instead of 2.54 cr</t>
  </si>
  <si>
    <t>Ferro Alloy rate mismatch</t>
  </si>
  <si>
    <r>
      <t xml:space="preserve">Dolomite Bhutan rate was </t>
    </r>
    <r>
      <rPr>
        <sz val="11"/>
        <color rgb="FF000000"/>
        <rFont val="Calibri"/>
        <family val="2"/>
        <charset val="1"/>
      </rPr>
      <t>Rs-3,304/t during ABP finalisation now it is reflecting much lower Rs-1817.25/t in Anaplan.</t>
    </r>
  </si>
  <si>
    <t>DS Compound rate mismatch</t>
  </si>
  <si>
    <t>Rate of DS compound is also mismatched in Anaplan. There is slightly difference in rate of Mag97 in April’25 and speed lime rate are mismatched in every quarter.</t>
  </si>
  <si>
    <t>Industrial Gases rate mismatch</t>
  </si>
  <si>
    <t>Rates of below mentioned Industrial gases are not matching in Anaplan.</t>
  </si>
  <si>
    <t>JADSLC rates are reflecting higher in Anaplan</t>
  </si>
  <si>
    <t>Rate updated by Procurement team in anaplan is not matching with SM offline working.</t>
  </si>
  <si>
    <t>Unit of quantity is not visible even after drilldown</t>
  </si>
  <si>
    <t>As per existing logic, units are not being integrated.</t>
  </si>
  <si>
    <t>Deviation in SS costand Industrial Gases rate and Power</t>
  </si>
  <si>
    <t>Data pushed by SS team in integration not matchgin with SM offline file</t>
  </si>
  <si>
    <t>Deviation in Ferro alloy rates</t>
  </si>
  <si>
    <t xml:space="preserve">In LD2 we are adverse by Rs. 1.99 cr.
In LD3 we are favorable by 2.63cr.
Rate updated by Bulk team mismathed with offline excel
</t>
  </si>
  <si>
    <t>WRP and remelting rate mismatch</t>
  </si>
  <si>
    <t>Rate updated by IBMD team not matching with offline wokring of SM team</t>
  </si>
  <si>
    <t>Ferro Niobium with phos 0.5% is not reflecting in Anaplan.</t>
  </si>
  <si>
    <t>LD gas generated mismatch - SS team</t>
  </si>
  <si>
    <t>SS team were not able to close the gap hence manual provision given in SM</t>
  </si>
  <si>
    <t>Skin pass mill month on month work cost is matching but there is slightly difference in FY’26.</t>
  </si>
  <si>
    <t>Soumitro Sarangi</t>
  </si>
  <si>
    <t>Guided user on resolution of material balance CRME shutwdown issue</t>
  </si>
  <si>
    <t>Despite a planned shutdown, as per offline excel there were HR transfers planned from TSK (4KT) and inhouse (10 KT )from TSCR and HSM. This issue was first identified in Anaplan as part of control checks. Since we couldnt correct the offline excel , as suggested by TSJ team for adjustment a right place for adjustment was proposed by ITS  and the same was closed for matching Saleable production</t>
  </si>
  <si>
    <t>Guided user on the resolution of CRME inventory diff</t>
  </si>
  <si>
    <t>The impact of adjustment in CRME material balance was later identified in inventory and a similar adjustmetn was made in inventory as well.</t>
  </si>
  <si>
    <t>Guided user on how to udpate transfer data in material balance</t>
  </si>
  <si>
    <t>Guided user on where to check WCDC and explained the working</t>
  </si>
  <si>
    <t>Guided user on how to udpate freight data by manual override option for downstream</t>
  </si>
  <si>
    <t>Proposed the solution for mismatch in CRM B inventory</t>
  </si>
  <si>
    <t>HR from TSM was not included in wt average, same was identified by ITS and communicated with SM team.</t>
  </si>
  <si>
    <t>All required Views and Actions are published for inbound and outbond data movement, user can check the data after pulling or pushing the data in system only and send the communications to other team members.</t>
  </si>
  <si>
    <t>Purchased Coke Breeze' Weighted Avg Cost</t>
  </si>
  <si>
    <t>Instead of discussing the requirements first with respective stake holdrs gave the requirements to IT, we developed and released the same day but later users confirmed that this is not required this as they havent planned this in their working excel . This kind of unharmonised/unconfirmed requirements planning time during planning.</t>
  </si>
  <si>
    <t>Extruded Briquette’s Cost(Rs/T) was not flowing to its cost sheet</t>
  </si>
  <si>
    <t xml:space="preserve">(New Cost Head Addition)-&gt;New Development </t>
  </si>
  <si>
    <t>TSG’s Pellet Consumption Cost(Rs/T) mismatch</t>
  </si>
  <si>
    <t>Both TSLP and TSJ’s users awareness</t>
  </si>
  <si>
    <t>BRPL pellet consumption needs to be built up</t>
  </si>
  <si>
    <t>Rates for Purchase Pellet and EPA Pellet were already pushed to integration Model by Central Assumption’s Team but TSJ BAGs haven’t pulled to spoke)-&gt; User awareness.</t>
  </si>
  <si>
    <t>Residual Fines TSLPJ not reflected in SP cost sheet-&gt; BAGs Issue</t>
  </si>
  <si>
    <t>TSLP wasn’t pushed and checked qty properly in Integration model because TSJ’s sinter plant was not available in target module(IT’s Mistake), also TSJ’s users didn’t know from where this qty and rates will flow</t>
  </si>
  <si>
    <t>Residual Fines TSLPJ not reflected in SP cost sheet-&gt; IT issue</t>
  </si>
  <si>
    <t>Temporary Provision to input Hot Metal’s rate manually to expedite the process.</t>
  </si>
  <si>
    <t>As confirmed and requested below, we have given a temporary provision to enter Hot Metal’s rate manually just to expedite the process but finally we have to match in IM track and push all the rates through Outbound actions only to maintain the integrity and consistency of the system and whole process. We will remove this provision once IM BAG will match and push the final rates to Integration Model using the Outbound actions. This kind of request can raise the question on the system's integrity and consistency.</t>
  </si>
  <si>
    <t>Limestones and DRI Sintering mismatch in RMBB</t>
  </si>
  <si>
    <t>Qty was not pushed to Bulk i.e. rate was not flowing</t>
  </si>
  <si>
    <t>Residual TSLP Fines not flowing properly</t>
  </si>
  <si>
    <t>-&gt; It is coming through TSG and consuming on the basis of Manual Production instead of Captive Ore, freight is missing</t>
  </si>
  <si>
    <t>Vijaya Fines mapping is missing in Geo P&amp;L</t>
  </si>
  <si>
    <t>While planning for any new material first time user should get all the required material to GL mappings in advance to get their impact in Geo P&amp;L</t>
  </si>
  <si>
    <t>Impact of Lump Sponge Transfered from TSG.</t>
  </si>
  <si>
    <t>This material was getting transferred but not getting consumed in  Briquette Plant and BF due to which Geo P&amp;L was not getting matched.</t>
  </si>
  <si>
    <t xml:space="preserve">Extruded Briequette, Ferroshot and ASRF Costs are  not flowing to Geo P&amp;L </t>
  </si>
  <si>
    <t>User havent planned these costs properly as done in FY'25 instead of which they have done direct manual adjustments due to which the cost is not flowing to Geo P&amp;L.</t>
  </si>
  <si>
    <t>Petro Coke, Extrued Briquette, Residual TSLP Fines not flowing properly in Geo P&amp;L</t>
  </si>
  <si>
    <t>This material was getting transferred but not getting consumed in  Briquette Plant and BF due to which this is having impact over  Inventory and Geo P&amp;L.</t>
  </si>
  <si>
    <t>WB</t>
  </si>
  <si>
    <t>West Bokaro Inventory to Integration</t>
  </si>
  <si>
    <t>We have entered opening stock in QSE but are still unable to view the inventory for the same</t>
  </si>
  <si>
    <t>Geo P&amp;L Closure</t>
  </si>
  <si>
    <t>Anshu Mishra</t>
  </si>
  <si>
    <t>TSJ GW Geo P&amp;L data mismatch -  Anaplan Other Cost</t>
  </si>
  <si>
    <t>sursain singh</t>
  </si>
  <si>
    <t>ISWP cost sheet data flow to FP</t>
  </si>
  <si>
    <t>M&amp;S to SM integration LP-ABP</t>
  </si>
  <si>
    <t>workshop</t>
  </si>
  <si>
    <t>Mill wise NR planning not done in anaplan</t>
  </si>
  <si>
    <t>Geo PL Nitrogen Consumption</t>
  </si>
  <si>
    <t>Formula updation for multiplying 1000</t>
  </si>
  <si>
    <t xml:space="preserve">Difference in SPC Cost  </t>
  </si>
  <si>
    <t>differences between the file shared for SPC &amp; data uploaded in Anaplan by SPC team, to match this a manual grid was provided to SM team for SPC EPA and Freight adjustment</t>
  </si>
  <si>
    <t>Change in TSM inventory Rate</t>
  </si>
  <si>
    <t>This last minute change in HR rate by TSM impacted the wt average cost of CRMB due to which a manual provision for override was given for TSJ SM Team</t>
  </si>
  <si>
    <t>Diff in GA Cost</t>
  </si>
  <si>
    <t>Diff found between GA shared by team and SM teams offline excel, to match manual provision given to override the diff</t>
  </si>
  <si>
    <t>POP</t>
  </si>
  <si>
    <t>Daljeet Kaur</t>
  </si>
  <si>
    <t>POP Pallet Integration</t>
  </si>
  <si>
    <t xml:space="preserve">has created the module in integration for POP Pallet ( FP30_POP:Pellet_TSG) </t>
  </si>
  <si>
    <t xml:space="preserve">Integration in Financial Planning </t>
  </si>
  <si>
    <t>model for below combination:
BA&gt;PC
ISWP wire mill&lt;&lt;Secondary products
Metaliks pig iron&lt;&lt;secondary products
Tinplate&lt;&lt;Secondary products</t>
  </si>
  <si>
    <t>ABP Booklet-Issues</t>
  </si>
  <si>
    <t>ABP Booklet time range has been corrected on the app</t>
  </si>
  <si>
    <t>Time filter/time context selector  issue</t>
  </si>
  <si>
    <t xml:space="preserve">1.6 Profit &amp; Loss Schedule by Columnar -Actual | Anaplan- time context selector not working
1.7 Profit &amp; Loss Report by Columnar - Actual | Anaplan- time filter not required
1.8 Schedule to Balance sheet - Actual | Anaplan-time context selector - not available to make the selection
</t>
  </si>
  <si>
    <t xml:space="preserve"> Upload of Opening Trial Balance</t>
  </si>
  <si>
    <t>Numbers entered in CSV templet wrongly.</t>
  </si>
  <si>
    <t>Please check the difference in DI geo PL - revenue from sale is not matching in Geo PL which should be same as Operating profit.</t>
  </si>
  <si>
    <t>Ankul Kumar, Ijas</t>
  </si>
  <si>
    <t>TSG coke coming twice in Geo</t>
  </si>
  <si>
    <t>Other Cost</t>
  </si>
  <si>
    <t>TSM GW</t>
  </si>
  <si>
    <t>Monika Sharma</t>
  </si>
  <si>
    <t xml:space="preserve">difference of -50.8lakhs in TSM-GW </t>
  </si>
  <si>
    <t>User to respond with gap analysis and action</t>
  </si>
  <si>
    <t>Helping users to update data like production numbers, SPC, Stock for mat bal and inventory, depreciation allocation, IT chargeback allocation, abnormal cost, freight, Wages, KPI requirements, rates, transfer quantities and rates-</t>
  </si>
  <si>
    <t>Helping in running inbound/outbound integration actions to push/pull the data in the system from/to other tracks-</t>
  </si>
  <si>
    <t>Helping in updating driver set up for new additions of CC or CH or materials and add in cost sheets, inventory , Geo PL-</t>
  </si>
  <si>
    <t>Helping in version movement for all tracks-</t>
  </si>
  <si>
    <t>Helping in reconciling integration data pushed by other tracks like depreciation, IT chargeback, GWTM-</t>
  </si>
  <si>
    <t>Helping users to use features of drill down , pivot etc to take download of the file from system as per requirement-</t>
  </si>
  <si>
    <t>Helping users to upload GAGW plan data for all tracks-</t>
  </si>
  <si>
    <t>Helping users to upload GAGW monthly allocation percentage for monthly plan data-</t>
  </si>
  <si>
    <t>Helping users to upload calendar, central assumptions-</t>
  </si>
  <si>
    <t>Helping users to upload bulk/strategic procurement rates-</t>
  </si>
  <si>
    <t>Helping users by showing them how to refer FY25 for their references-</t>
  </si>
  <si>
    <t>Own clean coal and output not visible -Wrong dashboard was being referred</t>
  </si>
  <si>
    <t>OMQ Cost sheets look distorted making it difficult to check nos -User referring wrong dashboard link</t>
  </si>
  <si>
    <t>For Vijaya II, Royalty per tonne ( Royalty, DMF, NMET) etc are not appearing even though we have entered Royalty rates in Assumption sheet.-User entered in wrong sheet</t>
  </si>
  <si>
    <t>HSD Rates was not flowing  -User has to push the consumption then rates flow from other cost</t>
  </si>
  <si>
    <t>Despatch nos are distorted( highly inflated)  in OMQ FG Mat Bal -User changed the number as seen in history</t>
  </si>
  <si>
    <t>Jharia BCCL Volumes is showing different nos in different places -Missing mapping by user</t>
  </si>
  <si>
    <t>Opening stock in QSE but are still unable to view the inventory for the same -User missed updating input</t>
  </si>
  <si>
    <t>Incorrect NR in OMQ POP-</t>
  </si>
  <si>
    <t>Add Kalamang CLO in Kalamang FG Costing sheet and also cost without royalty as both these elements are not being visible-</t>
  </si>
  <si>
    <t>In OMQ Cost Planning, Kalamang Change in WIP is appearing incorrect as it is showing closing stock whereas in actual there is no closing stock as per system-</t>
  </si>
  <si>
    <t>The changes in Noamundi IOPP ROM is not visible in Royalty Planning sheet-</t>
  </si>
  <si>
    <t>Kalamang CLO Despatches is not appearing in Royalty Planning Sheet-</t>
  </si>
  <si>
    <t>HMC prod cannot be viewed in report 7.1. Request you to help.-Grid to see HMC Production was already published, user was looking in different grid</t>
  </si>
  <si>
    <t>Moisture Content was not flowing to Coke Plants.-</t>
  </si>
  <si>
    <t>Imported coal cost is not flowing from Other Cost-Other cost to run outbound action to push the rates</t>
  </si>
  <si>
    <t>Coke Breeze cost is not reflected in pellet cost sheet-Gross Coke’s Mappings were missing to split Coke Breeze</t>
  </si>
  <si>
    <t>Wages is not shown in HMC cost sheet- Inbound Action was not run to pull the wages data</t>
  </si>
  <si>
    <t>IT chargeback is not flowing in cost sheet-Allocation% not updated and new GLs were required to be pulled</t>
  </si>
  <si>
    <t>EPA Pellet not flowing to cost sheet-Since rate is coming through central assumption so we had to select cost head's drivers accordingly</t>
  </si>
  <si>
    <t>Extruded Briquette’s Consumption Cost(Rs/T) was not flowing to BF’s Cost Sheet-Aggregation Mapping was missing and refresh rate’s action was not ran</t>
  </si>
  <si>
    <t>RMHS cost not flowing correctly-Incorrect allocation % updated in Anaplan - different % used in manual planning</t>
  </si>
  <si>
    <t>Coal &amp; IO ka despatch qty is not flowing to IM from RM-RM didnt pushed the qty to integration</t>
  </si>
  <si>
    <t>Compensation Cess - Wet Coal (Rs/T) is not flowing to Cost Sheet-User to update the data in cell published</t>
  </si>
  <si>
    <t>BRPL &amp; Purchase pellet rate not showing Anaplan cost sheet-Driver set up not completed in Anaplan by user</t>
  </si>
  <si>
    <t>Rates are not coming in Kalamang IO in ABP FY 26-RM user had planned the data in different material and IM user had planned data in different material</t>
  </si>
  <si>
    <t>Depreciation issue - Anaplan ABP FY'26-Refresh rate's action wasnt run by user</t>
  </si>
  <si>
    <t>RMHS data is not reflecting -Refresh rate's action wasnt run by user</t>
  </si>
  <si>
    <t>Specific consumption and qty is not flowing to cost report-Page was not refreshed properly(user awareness).</t>
  </si>
  <si>
    <t>Shares service data is showing in Integrated version but not showing in working &amp; submission version-Version Setup was not setup properly(user awareness)</t>
  </si>
  <si>
    <t>Coal Quantity mismatch in Anaplan-RM user has planned and sent the data in wrong CC</t>
  </si>
  <si>
    <t>IO lumps Specific consumption MatBal issue-Plant to Plant transfer's data was not entered by user.</t>
  </si>
  <si>
    <t>Data not flowing correctly from IBMD to IM -Data updated in incorrect cost centre by IBMD- later corrected</t>
  </si>
  <si>
    <t>Data mismatch in working and submission and integrated version-Inbound action not run for working and submission for inputs from integration</t>
  </si>
  <si>
    <t>Helping user in updating R&amp;M cost-User wasn’t able to complete</t>
  </si>
  <si>
    <t>Workshops conducted with users to complete ABP inputs and close Geo PL-User wasn’t able to complete</t>
  </si>
  <si>
    <t>New scheme addition in depreciation-Correction done - format for updating new schemes was different</t>
  </si>
  <si>
    <t>Bulk Rate are not flowing for materials - Limestone  CP, Pyroxinite, ESP Dust etc...-Users to update requirements and push to OC post which they can push the rates</t>
  </si>
  <si>
    <t>Scrap materials and scrap rate not visible in anaplan-Materials were not marked in SM subset</t>
  </si>
  <si>
    <t>Rate of few ferro alloys missing in anaplan-New items which needs to be updated in SM module which were not consumed last year</t>
  </si>
  <si>
    <t>Addition of Vijay2 LG fines in IM iron and coal distribution module-Materials were not marked in SM subset</t>
  </si>
  <si>
    <t>DET Sales for LP area is reflecting ~144kt in Inbound  Data In integration model (9B), however, in TMT Mat balance sales is showing as ~129kt -Mapping of one product Smart fab missing as not flowing in subset</t>
  </si>
  <si>
    <t>GAGW nos not flowing correctly-Missing cost centres/ GLs added</t>
  </si>
  <si>
    <t>GAGW nos not flowing correctly-Existing hierarchies changed - impact of the same was not flowing as both old and new were appearing</t>
  </si>
  <si>
    <t>GAGW nos not flowing correctly-New GLs not marked in subset for flowing data</t>
  </si>
  <si>
    <t xml:space="preserve">Lump &amp; dolo lime rates are not flowing to SM Cost sheet-Correction done </t>
  </si>
  <si>
    <t>Mismatch in Tubes numbers pushed to Financial planning model-Depreciation subset not marked</t>
  </si>
  <si>
    <t>Omq Vol Planning, yeild % and excavation-Mapping not done correctly</t>
  </si>
  <si>
    <t>Additional Amt issue in Joda and Vijiya II-Clo was not mapped last year</t>
  </si>
  <si>
    <t>Coal rate and fuel rate is showing wrong in report no. 7.3-Mapping not done correctly</t>
  </si>
  <si>
    <t>Depreciation mismatch in FP and BP-Mapping not done correctly</t>
  </si>
  <si>
    <t>BF coke mapping not done correctly leading to gap in Geo PL-Mapping not done correctly</t>
  </si>
  <si>
    <t>Residual TSG fines not flowing-Mapping not done correctly</t>
  </si>
  <si>
    <t>Requirement of powder bentonite, ASRF etc not mapped propoerly-Mapping not done correctly</t>
  </si>
  <si>
    <t>Mismatches in depreciation.-Mapping not done correctly</t>
  </si>
  <si>
    <t>Addtion of Coke breeze imported under  Pellet plant-Mapping not done correctly</t>
  </si>
  <si>
    <t xml:space="preserve"> Depreciation mismatch in FP and BP-Mapping not done correctly</t>
  </si>
  <si>
    <t>Carboloux new material mapping-Mapping not done correctly</t>
  </si>
  <si>
    <t>Abnormal cost and POP difference -DSS and BAG SM have considered different nos for planning</t>
  </si>
  <si>
    <t>Iron ore distribution data mismatch due to different excel versions-DSS and BAG SM have considered different nos for planning</t>
  </si>
  <si>
    <t>Difference in assumption updated for lime -Different data used in planning by CS&amp;P and BAG SM</t>
  </si>
  <si>
    <t>Rate of scrap is not reflecting correctly in Anaplan ; difference in freight also-IBMD and BAG SM have considered different nos for planning</t>
  </si>
  <si>
    <t>Transfer of FHCR from TSK and TSM is not aligned with TSJ is Anaplan-TSJ nad TSK have considered different nos for planning</t>
  </si>
  <si>
    <t>Difference in CMG wages, LD gas rate, BF gas rate, power , argon, mixed gas, MP nitrogen -Shared services had computed the manual data and shared based on std cost .However working the bottom -up , it was found that there were items not considered in the calculation earlier</t>
  </si>
  <si>
    <t>Rate of ferro alloys is not reflecting correctly in Anaplan (dolomite, desulphur, nitrovan, aluminium notch bar, maganesium metal flake etc.)-Bulk/Strategic procurement and BAG SM have considered different nos for planning</t>
  </si>
  <si>
    <t>SPC and freight cost difference -Different data used in planning by SC and BAG SM</t>
  </si>
  <si>
    <t>Difference in monthwise planning of TSJ common GA cost due to different logics considered by CMAG and BAG SM for allocation -Different logics due to which different nos</t>
  </si>
  <si>
    <t>Change in rate of TSK and freight in inventory-Different data used in planning by TSK and BAG SM</t>
  </si>
  <si>
    <t>Rate of ferro alloys is not reflecting correctly in Anaplan (dolomite, desulphur, artificial. graphite)-Bulk/Strategic procurement and BAG SM have considered different nos for planning</t>
  </si>
  <si>
    <t>Rate of scrap is not reflecting correctly in Anaplan -IBMD and BAG SM have considered different nos for planning</t>
  </si>
  <si>
    <t>Incorrect moisture content is flowing in system-CS&amp;P releases moisture content for all locations separately. User team considered different data</t>
  </si>
  <si>
    <t>Vijaya II Change in WIP is not appearing correctly on account of wrong production rate.-Logic changed during ABP</t>
  </si>
  <si>
    <t>Purchase Pellet's impact in Pellet Plant-There is a exclusion logic change to remove the impact</t>
  </si>
  <si>
    <t>Formula changed for saleable FHCR, FHCR inventory in CRM volume  planning,  HR input of CRM Bara, weighted average calculation of CRM bara inventory-Changes done during ABP planning</t>
  </si>
  <si>
    <t>Flaring of BF,CO &amp; LD in GCal  -Changes done during ABP planning</t>
  </si>
  <si>
    <t>Allocation of cost over MOR in different areas-New areas added and new reports required with different views</t>
  </si>
  <si>
    <t>Billet consumption cost not coming correct-Formula changed during ABP even after doing UAT</t>
  </si>
  <si>
    <t xml:space="preserve">Nitrogen Consumption in pellet plant-Formula changed during ABP </t>
  </si>
  <si>
    <t>Rate incorrectly flowing for Coke Breeze-Formula changed during ABP to include exception for sinter coke breeze</t>
  </si>
  <si>
    <t>Many new logics incorporated during ABP-Inclusion of Joda</t>
  </si>
  <si>
    <t>Logic for transfers, coke breeze changed-</t>
  </si>
  <si>
    <t>Weighted average inventory rate for transferring to TSM  - Difference in rates-Production cost considered in planning while weighted average rate build in Anaplan</t>
  </si>
  <si>
    <t>GAGW data not matching in Anaplan w.r.t manual planning-Different logics for viewing the GAGW cost in Anaplan and excel</t>
  </si>
  <si>
    <t>Difference in GAGW cost-Due to LP mapping of CC in anaplan, cost for 21120 was mismatching. Later aligned</t>
  </si>
  <si>
    <t>Milwise LP data of sales was reuired which was not planned. Later M&amp;S made the data-Difference in manual and system planning</t>
  </si>
  <si>
    <t>Ferroshot rate logic is weighted average of scraps in anaplan while there is no such planning done-Difference in manual and system planning</t>
  </si>
  <si>
    <t>Utility data not available in Blast Furnace-There was a filter applied in view due to which grid was coming blank</t>
  </si>
  <si>
    <t>ABP'26_Iron Ore and Coal Distribution is not flowing in IM-Access issue at organization level in Integration Model which is resolved</t>
  </si>
  <si>
    <t>GW TSK data was not getting pulled-Authorization issue in the data import action</t>
  </si>
  <si>
    <t>Unable to pull HM /IO-Access issue at organization level in Integration Model which is resolved</t>
  </si>
  <si>
    <t>Total not tallying with the allocated cost in TSJ WCDC module-Correction done in formula</t>
  </si>
  <si>
    <t>Unable to view JMBL Cess in any of the OMQ Cost sheets( Noamundi, Vijaya II and OMQ Total Cost sheet.-Dashboard not published in front end for users to view</t>
  </si>
  <si>
    <t>-Mapping done twice by IT mistakenly</t>
  </si>
  <si>
    <t>Mismatch in Working and Integrated version-Actions corrected</t>
  </si>
  <si>
    <t>Coke Plant Prodn and Coke Consumption Rate cannot be seen in cons. Rate mat bal screen, but it correctly seen in other screen-Different line item was published in the FY'26 Dashboard's grid due to which correct data was not appearing.</t>
  </si>
  <si>
    <t>HMC coke cost not getting pushed to TSK and TSM-Action issues corrected by IT</t>
  </si>
  <si>
    <t>SPC and Purchase Billet data is not reflecting in integrated version-Action corrected</t>
  </si>
  <si>
    <t>Unable to pull data from Inbound Action in Anaplan-Action corrected</t>
  </si>
  <si>
    <t>Unable to move from working submission to integrated version-Action corrected</t>
  </si>
  <si>
    <t xml:space="preserve">Lab inventory report slab cons is not appearing-Correction done </t>
  </si>
  <si>
    <t xml:space="preserve">Version movement issue from working -submission to integrated version-Correction done </t>
  </si>
  <si>
    <t xml:space="preserve">After mapping pig iron own, the data is not flowing in BOF-Correction done </t>
  </si>
  <si>
    <t xml:space="preserve">Lime fines closing rate diff in WS and integration-Correction done </t>
  </si>
  <si>
    <t>Depreciation not flowing-Action corrected</t>
  </si>
  <si>
    <t>Differences in rates and WPP after transferring data from local to integrated version-Action corrected</t>
  </si>
  <si>
    <t xml:space="preserve">Purchase power cost (rate) in WPP for power rate not flowing-Correction done </t>
  </si>
  <si>
    <t xml:space="preserve">The generation nos for By Product Gases are not appearing in Cost Sheet-Correction done </t>
  </si>
  <si>
    <t>Time filter not updated for ABP FY'26-Correction done - format for updating new schemes was different</t>
  </si>
  <si>
    <t>Integration data was not flowing for many tracks like TCIL, IBMD, etc-Correction done - format for updating new schemes was different</t>
  </si>
  <si>
    <t>Bearings export sales volume planning data not reflecting correct. Huge value appearing as ABP FY'25 Data also showing in summary for bearings-</t>
  </si>
  <si>
    <t>Steel cost addition in list of new products added in master -Was done manually - action not working</t>
  </si>
  <si>
    <t>TM cost was not flowing-Due to new changes in OC, mapping was redone</t>
  </si>
  <si>
    <t>Difference in local and integrated version-Action corrected</t>
  </si>
  <si>
    <t>The consumption and transfer figures for RM grade WR3M for MIG wire sales are not appearing in module 2.03 RM planning volume and Cost-Master updated and links corrected</t>
  </si>
  <si>
    <t>TM Allocation in ABP FY26 is still visible -linkages corrected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</si>
</sst>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
  </numFmts>
  <fonts count="27">
    <font>
      <sz val="11"/>
      <color theme="1"/>
      <name val="Calibri"/>
      <family val="2"/>
      <scheme val="minor"/>
    </font>
    <font>
      <b/>
      <sz val="11"/>
      <color theme="1"/>
      <name val="Calibri"/>
      <family val="2"/>
      <scheme val="minor"/>
    </font>
    <font>
      <sz val="10"/>
      <color theme="1"/>
      <name val="Arial"/>
      <family val="2"/>
    </font>
    <font>
      <sz val="11"/>
      <color theme="1"/>
      <name val="Arial"/>
      <family val="2"/>
    </font>
    <font>
      <b/>
      <sz val="11"/>
      <color theme="1"/>
      <name val="Arial"/>
      <family val="2"/>
    </font>
    <font>
      <sz val="11"/>
      <color rgb="FF000000"/>
      <name val="Arial"/>
    </font>
    <font>
      <sz val="10"/>
      <color rgb="FF000000"/>
      <name val="Arial"/>
      <family val="2"/>
    </font>
    <font>
      <b/>
      <sz val="10"/>
      <color theme="1"/>
      <name val="Arial"/>
      <family val="2"/>
    </font>
    <font>
      <sz val="11"/>
      <color theme="1"/>
      <name val="Calibri"/>
      <family val="2"/>
      <charset val="1"/>
    </font>
    <font>
      <sz val="11"/>
      <color theme="1"/>
      <name val="Aptos"/>
      <family val="2"/>
      <charset val="1"/>
    </font>
    <font>
      <sz val="11"/>
      <color rgb="FF000000"/>
      <name val="Aptos"/>
      <family val="2"/>
    </font>
    <font>
      <b/>
      <sz val="11"/>
      <color rgb="FF000000"/>
      <name val="Aptos"/>
      <family val="2"/>
    </font>
    <font>
      <sz val="11"/>
      <color rgb="FF000000"/>
      <name val="Aptos Narrow"/>
      <family val="2"/>
      <charset val="1"/>
    </font>
    <font>
      <sz val="11"/>
      <color rgb="FF000000"/>
      <name val="Calibri"/>
      <family val="2"/>
      <scheme val="minor"/>
    </font>
    <font>
      <sz val="11"/>
      <color rgb="FF000000"/>
      <name val="Aptos Narrow"/>
      <family val="2"/>
    </font>
    <font>
      <sz val="11"/>
      <color rgb="FF000000"/>
      <name val="Calibri"/>
      <family val="2"/>
    </font>
    <font>
      <b/>
      <sz val="11"/>
      <color rgb="FF000000"/>
      <name val="Calibri"/>
      <family val="2"/>
    </font>
    <font>
      <sz val="11"/>
      <color theme="1"/>
      <name val="Aptos"/>
      <family val="2"/>
    </font>
    <font>
      <sz val="10"/>
      <color rgb="FF000000"/>
      <name val="Aptos Narrow"/>
      <family val="2"/>
    </font>
    <font>
      <sz val="11"/>
      <color theme="1"/>
      <name val="Aptos Narrow"/>
      <family val="2"/>
    </font>
    <font>
      <sz val="11"/>
      <color rgb="FF242424"/>
      <name val="Aptos Narrow"/>
      <family val="2"/>
    </font>
    <font>
      <sz val="11"/>
      <color theme="1"/>
      <name val="Calibri"/>
      <family val="2"/>
    </font>
    <font>
      <sz val="12"/>
      <color theme="1"/>
      <name val="Aptos"/>
      <family val="2"/>
      <charset val="1"/>
    </font>
    <font>
      <b/>
      <sz val="11"/>
      <color theme="1"/>
      <name val="Aptos"/>
      <family val="2"/>
      <charset val="1"/>
    </font>
    <font>
      <sz val="11"/>
      <color rgb="FF000000"/>
      <name val="Calibri"/>
      <family val="2"/>
      <charset val="1"/>
    </font>
    <font>
      <sz val="10"/>
      <color theme="1"/>
      <name val="Times New Roman"/>
      <family val="1"/>
      <charset val="1"/>
    </font>
    <font>
      <u/>
      <sz val="11"/>
      <color theme="10"/>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rgb="FFFFFF00"/>
        <bgColor rgb="FF000000"/>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indexed="64"/>
      </right>
      <top/>
      <bottom/>
      <diagonal/>
    </border>
    <border>
      <left/>
      <right style="thin">
        <color indexed="64"/>
      </right>
      <top/>
      <bottom style="thin">
        <color indexed="64"/>
      </bottom>
      <diagonal/>
    </border>
    <border>
      <left style="thin">
        <color rgb="FF000000"/>
      </left>
      <right style="thin">
        <color rgb="FF000000"/>
      </right>
      <top/>
      <bottom/>
      <diagonal/>
    </border>
    <border>
      <left style="thin">
        <color indexed="64"/>
      </left>
      <right style="thin">
        <color indexed="64"/>
      </right>
      <top/>
      <bottom style="thin">
        <color indexed="64"/>
      </bottom>
      <diagonal/>
    </border>
    <border>
      <left style="thin">
        <color rgb="FF000000"/>
      </left>
      <right/>
      <top/>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s>
  <cellStyleXfs count="2">
    <xf numFmtId="0" fontId="0" fillId="0" borderId="0"/>
    <xf numFmtId="0" fontId="26" fillId="0" borderId="0" applyNumberFormat="0" applyFill="0" applyBorder="0" applyAlignment="0" applyProtection="0"/>
  </cellStyleXfs>
  <cellXfs count="141">
    <xf numFmtId="0" fontId="0" fillId="0" borderId="0" xfId="0"/>
    <xf numFmtId="0" fontId="2" fillId="0" borderId="0" xfId="0" applyFont="1"/>
    <xf numFmtId="0" fontId="2" fillId="0" borderId="0" xfId="0" applyFont="1" applyAlignment="1">
      <alignment wrapText="1"/>
    </xf>
    <xf numFmtId="0" fontId="3" fillId="0" borderId="0" xfId="0" applyFont="1"/>
    <xf numFmtId="0" fontId="3" fillId="0" borderId="0" xfId="0" applyFont="1" applyAlignment="1">
      <alignment wrapText="1"/>
    </xf>
    <xf numFmtId="0" fontId="4" fillId="0" borderId="0" xfId="0" applyFont="1"/>
    <xf numFmtId="0" fontId="0" fillId="0" borderId="0" xfId="0" applyAlignment="1">
      <alignment wrapText="1"/>
    </xf>
    <xf numFmtId="0" fontId="5" fillId="0" borderId="1" xfId="0" applyFont="1" applyBorder="1" applyAlignment="1">
      <alignment wrapText="1" readingOrder="1"/>
    </xf>
    <xf numFmtId="0" fontId="6" fillId="0" borderId="0" xfId="0" applyFont="1" applyAlignment="1">
      <alignment vertical="top" wrapText="1"/>
    </xf>
    <xf numFmtId="0" fontId="7" fillId="0" borderId="0" xfId="0" applyFont="1" applyAlignment="1">
      <alignment wrapText="1"/>
    </xf>
    <xf numFmtId="0" fontId="7" fillId="0" borderId="0" xfId="0" applyFont="1"/>
    <xf numFmtId="0" fontId="0" fillId="0" borderId="0" xfId="0" applyAlignment="1">
      <alignment vertical="top"/>
    </xf>
    <xf numFmtId="2" fontId="0" fillId="0" borderId="0" xfId="0" applyNumberFormat="1" applyAlignment="1">
      <alignment vertical="top"/>
    </xf>
    <xf numFmtId="164" fontId="0" fillId="0" borderId="0" xfId="0" applyNumberFormat="1" applyAlignment="1">
      <alignment vertical="top"/>
    </xf>
    <xf numFmtId="2" fontId="0" fillId="0" borderId="2" xfId="0" applyNumberFormat="1" applyBorder="1" applyAlignment="1">
      <alignment vertical="top"/>
    </xf>
    <xf numFmtId="2" fontId="0" fillId="0" borderId="0" xfId="0" applyNumberFormat="1"/>
    <xf numFmtId="164" fontId="0" fillId="0" borderId="0" xfId="0" applyNumberFormat="1"/>
    <xf numFmtId="0" fontId="8" fillId="0" borderId="0" xfId="0" applyFont="1"/>
    <xf numFmtId="0" fontId="9" fillId="0" borderId="0" xfId="0" applyFont="1"/>
    <xf numFmtId="0" fontId="10" fillId="0" borderId="0" xfId="0" applyFont="1"/>
    <xf numFmtId="0" fontId="0" fillId="0" borderId="1" xfId="0" applyBorder="1" applyAlignment="1">
      <alignment vertical="top"/>
    </xf>
    <xf numFmtId="16" fontId="0" fillId="0" borderId="3" xfId="0" applyNumberFormat="1" applyBorder="1" applyAlignment="1">
      <alignment vertical="top"/>
    </xf>
    <xf numFmtId="0" fontId="13" fillId="0" borderId="4" xfId="0" applyFont="1" applyBorder="1"/>
    <xf numFmtId="0" fontId="0" fillId="0" borderId="1" xfId="0" applyBorder="1"/>
    <xf numFmtId="0" fontId="14" fillId="0" borderId="4" xfId="0" applyFont="1" applyBorder="1"/>
    <xf numFmtId="0" fontId="0" fillId="0" borderId="5" xfId="0" applyBorder="1"/>
    <xf numFmtId="0" fontId="13" fillId="0" borderId="6" xfId="0" applyFont="1" applyBorder="1"/>
    <xf numFmtId="164" fontId="13" fillId="0" borderId="4" xfId="0" applyNumberFormat="1" applyFont="1" applyBorder="1"/>
    <xf numFmtId="0" fontId="15" fillId="0" borderId="3" xfId="0" applyFont="1" applyBorder="1"/>
    <xf numFmtId="0" fontId="0" fillId="0" borderId="7" xfId="0" applyBorder="1"/>
    <xf numFmtId="0" fontId="15" fillId="0" borderId="0" xfId="0" applyFont="1"/>
    <xf numFmtId="0" fontId="15" fillId="0" borderId="3" xfId="0" applyFont="1" applyBorder="1" applyAlignment="1">
      <alignment vertical="top"/>
    </xf>
    <xf numFmtId="0" fontId="0" fillId="0" borderId="7" xfId="0" applyBorder="1" applyAlignment="1">
      <alignment vertical="top"/>
    </xf>
    <xf numFmtId="0" fontId="0" fillId="0" borderId="5" xfId="0" applyBorder="1" applyAlignment="1">
      <alignment vertical="top"/>
    </xf>
    <xf numFmtId="2" fontId="0" fillId="0" borderId="2" xfId="0" applyNumberFormat="1" applyBorder="1"/>
    <xf numFmtId="16" fontId="15" fillId="0" borderId="4" xfId="0" applyNumberFormat="1" applyFont="1" applyBorder="1"/>
    <xf numFmtId="0" fontId="15" fillId="0" borderId="4" xfId="0" applyFont="1" applyBorder="1"/>
    <xf numFmtId="0" fontId="15" fillId="0" borderId="6" xfId="0" applyFont="1" applyBorder="1"/>
    <xf numFmtId="164" fontId="0" fillId="0" borderId="2" xfId="0" applyNumberFormat="1" applyBorder="1"/>
    <xf numFmtId="0" fontId="15" fillId="0" borderId="8" xfId="0" applyFont="1" applyBorder="1"/>
    <xf numFmtId="0" fontId="16" fillId="0" borderId="4" xfId="0" applyFont="1" applyBorder="1" applyAlignment="1">
      <alignment vertical="center"/>
    </xf>
    <xf numFmtId="164" fontId="0" fillId="0" borderId="1" xfId="0" applyNumberFormat="1" applyBorder="1" applyAlignment="1">
      <alignment vertical="top"/>
    </xf>
    <xf numFmtId="164" fontId="0" fillId="0" borderId="2" xfId="0" applyNumberFormat="1" applyBorder="1" applyAlignment="1">
      <alignment vertical="top"/>
    </xf>
    <xf numFmtId="0" fontId="1" fillId="0" borderId="0" xfId="0" applyFont="1" applyAlignment="1">
      <alignment vertical="top"/>
    </xf>
    <xf numFmtId="2" fontId="1" fillId="2" borderId="1" xfId="0" applyNumberFormat="1" applyFont="1" applyFill="1" applyBorder="1" applyAlignment="1">
      <alignment vertical="top"/>
    </xf>
    <xf numFmtId="2" fontId="1" fillId="2" borderId="2" xfId="0" applyNumberFormat="1" applyFont="1" applyFill="1" applyBorder="1" applyAlignment="1">
      <alignment vertical="top"/>
    </xf>
    <xf numFmtId="164" fontId="1" fillId="2" borderId="1" xfId="0" applyNumberFormat="1" applyFont="1" applyFill="1" applyBorder="1" applyAlignment="1">
      <alignment vertical="top"/>
    </xf>
    <xf numFmtId="164" fontId="1" fillId="2" borderId="2" xfId="0" applyNumberFormat="1" applyFont="1" applyFill="1" applyBorder="1" applyAlignment="1">
      <alignment vertical="top"/>
    </xf>
    <xf numFmtId="0" fontId="1" fillId="2" borderId="1" xfId="0" applyFont="1" applyFill="1" applyBorder="1" applyAlignment="1">
      <alignment vertical="top"/>
    </xf>
    <xf numFmtId="164" fontId="0" fillId="0" borderId="1" xfId="0" applyNumberFormat="1" applyBorder="1"/>
    <xf numFmtId="164" fontId="0" fillId="0" borderId="9" xfId="0" applyNumberFormat="1" applyBorder="1"/>
    <xf numFmtId="0" fontId="0" fillId="0" borderId="9" xfId="0" applyBorder="1"/>
    <xf numFmtId="0" fontId="15" fillId="0" borderId="1" xfId="0" applyFont="1" applyBorder="1"/>
    <xf numFmtId="16" fontId="0" fillId="0" borderId="1" xfId="0" applyNumberFormat="1" applyBorder="1"/>
    <xf numFmtId="0" fontId="17" fillId="0" borderId="0" xfId="0" applyFont="1"/>
    <xf numFmtId="16" fontId="15" fillId="0" borderId="1" xfId="0" applyNumberFormat="1" applyFont="1" applyBorder="1"/>
    <xf numFmtId="0" fontId="13" fillId="0" borderId="1" xfId="0" applyFont="1" applyBorder="1"/>
    <xf numFmtId="0" fontId="14" fillId="0" borderId="1" xfId="0" applyFont="1" applyBorder="1"/>
    <xf numFmtId="0" fontId="0" fillId="0" borderId="10" xfId="0" applyBorder="1"/>
    <xf numFmtId="0" fontId="1" fillId="0" borderId="0" xfId="0" applyFont="1"/>
    <xf numFmtId="164" fontId="1" fillId="2" borderId="11" xfId="0" applyNumberFormat="1" applyFont="1" applyFill="1" applyBorder="1"/>
    <xf numFmtId="0" fontId="1" fillId="2" borderId="11" xfId="0" applyFont="1" applyFill="1" applyBorder="1"/>
    <xf numFmtId="0" fontId="0" fillId="0" borderId="0" xfId="0" applyAlignment="1">
      <alignment vertical="top" wrapText="1"/>
    </xf>
    <xf numFmtId="164" fontId="0" fillId="0" borderId="0" xfId="0" applyNumberFormat="1" applyAlignment="1">
      <alignment horizontal="left" vertical="top"/>
    </xf>
    <xf numFmtId="0" fontId="8" fillId="0" borderId="0" xfId="0" applyFont="1" applyAlignment="1">
      <alignment vertical="top"/>
    </xf>
    <xf numFmtId="0" fontId="0" fillId="0" borderId="1" xfId="0" applyBorder="1" applyAlignment="1">
      <alignment vertical="top" wrapText="1"/>
    </xf>
    <xf numFmtId="16" fontId="18" fillId="0" borderId="1" xfId="0" applyNumberFormat="1" applyFont="1" applyBorder="1" applyAlignment="1">
      <alignment horizontal="left" vertical="top"/>
    </xf>
    <xf numFmtId="0" fontId="18" fillId="0" borderId="1" xfId="0" applyFont="1" applyBorder="1" applyAlignment="1">
      <alignment horizontal="left" vertical="top"/>
    </xf>
    <xf numFmtId="0" fontId="18" fillId="0" borderId="1" xfId="0" applyFont="1" applyBorder="1" applyAlignment="1">
      <alignment horizontal="left" vertical="top" wrapText="1"/>
    </xf>
    <xf numFmtId="16" fontId="18" fillId="0" borderId="11" xfId="0" applyNumberFormat="1" applyFont="1" applyBorder="1" applyAlignment="1">
      <alignment vertical="top"/>
    </xf>
    <xf numFmtId="0" fontId="18" fillId="0" borderId="9" xfId="0" applyFont="1" applyBorder="1" applyAlignment="1">
      <alignment horizontal="left" vertical="top" wrapText="1"/>
    </xf>
    <xf numFmtId="0" fontId="18" fillId="0" borderId="11" xfId="0" applyFont="1" applyBorder="1" applyAlignment="1">
      <alignment vertical="top" wrapText="1"/>
    </xf>
    <xf numFmtId="0" fontId="18" fillId="0" borderId="5" xfId="0" applyFont="1" applyBorder="1" applyAlignment="1">
      <alignment horizontal="left" vertical="top" wrapText="1"/>
    </xf>
    <xf numFmtId="0" fontId="18" fillId="0" borderId="11" xfId="0" applyFont="1" applyBorder="1" applyAlignment="1">
      <alignment horizontal="left" vertical="top" wrapText="1"/>
    </xf>
    <xf numFmtId="0" fontId="13" fillId="3" borderId="4" xfId="0" applyFont="1" applyFill="1" applyBorder="1"/>
    <xf numFmtId="22" fontId="13" fillId="0" borderId="4" xfId="0" applyNumberFormat="1" applyFont="1" applyBorder="1"/>
    <xf numFmtId="0" fontId="14" fillId="0" borderId="1" xfId="0" applyFont="1" applyBorder="1" applyAlignment="1">
      <alignment vertical="top" wrapText="1"/>
    </xf>
    <xf numFmtId="0" fontId="0" fillId="0" borderId="9" xfId="0" applyBorder="1" applyAlignment="1">
      <alignment vertical="top"/>
    </xf>
    <xf numFmtId="0" fontId="0" fillId="0" borderId="9" xfId="0" applyBorder="1" applyAlignment="1">
      <alignment vertical="top" wrapText="1"/>
    </xf>
    <xf numFmtId="0" fontId="14" fillId="0" borderId="9" xfId="0" applyFont="1" applyBorder="1" applyAlignment="1">
      <alignment vertical="top" wrapText="1"/>
    </xf>
    <xf numFmtId="0" fontId="9" fillId="0" borderId="1" xfId="0" applyFont="1" applyBorder="1" applyAlignment="1">
      <alignment wrapText="1"/>
    </xf>
    <xf numFmtId="164" fontId="14" fillId="0" borderId="1" xfId="0" applyNumberFormat="1" applyFont="1" applyBorder="1" applyAlignment="1">
      <alignment horizontal="left" vertical="top" wrapText="1"/>
    </xf>
    <xf numFmtId="0" fontId="9" fillId="0" borderId="1" xfId="0" applyFont="1" applyBorder="1"/>
    <xf numFmtId="0" fontId="19" fillId="0" borderId="1" xfId="0" applyFont="1" applyBorder="1" applyAlignment="1">
      <alignment vertical="top" wrapText="1"/>
    </xf>
    <xf numFmtId="164" fontId="0" fillId="0" borderId="1" xfId="0" applyNumberFormat="1" applyBorder="1" applyAlignment="1">
      <alignment horizontal="left" vertical="top"/>
    </xf>
    <xf numFmtId="0" fontId="0" fillId="0" borderId="11" xfId="0" applyBorder="1" applyAlignment="1">
      <alignment vertical="top"/>
    </xf>
    <xf numFmtId="0" fontId="14" fillId="0" borderId="11" xfId="0" applyFont="1" applyBorder="1" applyAlignment="1">
      <alignment vertical="top" wrapText="1"/>
    </xf>
    <xf numFmtId="0" fontId="17" fillId="0" borderId="0" xfId="0" applyFont="1" applyAlignment="1">
      <alignment wrapText="1"/>
    </xf>
    <xf numFmtId="0" fontId="0" fillId="0" borderId="1" xfId="0" applyBorder="1" applyAlignment="1">
      <alignment wrapText="1"/>
    </xf>
    <xf numFmtId="0" fontId="17" fillId="0" borderId="1" xfId="0" applyFont="1" applyBorder="1"/>
    <xf numFmtId="164" fontId="0" fillId="0" borderId="1" xfId="0" applyNumberFormat="1" applyBorder="1" applyAlignment="1">
      <alignment horizontal="left" vertical="top" wrapText="1"/>
    </xf>
    <xf numFmtId="0" fontId="17" fillId="0" borderId="1" xfId="0" applyFont="1" applyBorder="1" applyAlignment="1">
      <alignment wrapText="1"/>
    </xf>
    <xf numFmtId="0" fontId="0" fillId="0" borderId="9" xfId="0" applyBorder="1" applyAlignment="1">
      <alignment wrapText="1"/>
    </xf>
    <xf numFmtId="164" fontId="0" fillId="0" borderId="11" xfId="0" applyNumberFormat="1" applyBorder="1" applyAlignment="1">
      <alignment vertical="top"/>
    </xf>
    <xf numFmtId="164" fontId="14" fillId="0" borderId="11" xfId="0" applyNumberFormat="1" applyFont="1" applyBorder="1" applyAlignment="1">
      <alignment horizontal="left" vertical="top" wrapText="1"/>
    </xf>
    <xf numFmtId="0" fontId="0" fillId="0" borderId="11" xfId="0" applyBorder="1" applyAlignment="1">
      <alignment vertical="top" wrapText="1"/>
    </xf>
    <xf numFmtId="164" fontId="0" fillId="0" borderId="9" xfId="0" applyNumberFormat="1" applyBorder="1" applyAlignment="1">
      <alignment vertical="top"/>
    </xf>
    <xf numFmtId="164" fontId="14" fillId="0" borderId="9" xfId="0" applyNumberFormat="1" applyFont="1" applyBorder="1" applyAlignment="1">
      <alignment horizontal="left" vertical="top" wrapText="1"/>
    </xf>
    <xf numFmtId="0" fontId="19" fillId="0" borderId="9" xfId="0" applyFont="1" applyBorder="1" applyAlignment="1">
      <alignment vertical="top" wrapText="1"/>
    </xf>
    <xf numFmtId="164" fontId="14" fillId="0" borderId="1" xfId="0" applyNumberFormat="1" applyFont="1" applyBorder="1" applyAlignment="1">
      <alignment horizontal="left" vertical="top"/>
    </xf>
    <xf numFmtId="0" fontId="20" fillId="0" borderId="1" xfId="0" applyFont="1" applyBorder="1" applyAlignment="1">
      <alignment vertical="top" wrapText="1"/>
    </xf>
    <xf numFmtId="164" fontId="0" fillId="0" borderId="11" xfId="0" applyNumberFormat="1" applyBorder="1" applyAlignment="1">
      <alignment horizontal="left" vertical="top" wrapText="1"/>
    </xf>
    <xf numFmtId="0" fontId="1" fillId="2" borderId="10" xfId="0" applyFont="1" applyFill="1" applyBorder="1" applyAlignment="1">
      <alignment vertical="top" wrapText="1"/>
    </xf>
    <xf numFmtId="164" fontId="1" fillId="2" borderId="1" xfId="0" applyNumberFormat="1" applyFont="1" applyFill="1" applyBorder="1" applyAlignment="1">
      <alignment horizontal="left" vertical="top" wrapText="1"/>
    </xf>
    <xf numFmtId="0" fontId="1" fillId="2" borderId="1" xfId="0" applyFont="1" applyFill="1" applyBorder="1" applyAlignment="1">
      <alignment vertical="top" wrapText="1"/>
    </xf>
    <xf numFmtId="0" fontId="1" fillId="2" borderId="1" xfId="0" applyFont="1" applyFill="1" applyBorder="1"/>
    <xf numFmtId="164" fontId="1" fillId="2" borderId="1" xfId="0" applyNumberFormat="1" applyFont="1" applyFill="1" applyBorder="1"/>
    <xf numFmtId="0" fontId="1" fillId="2" borderId="1" xfId="0" applyFont="1" applyFill="1" applyBorder="1" applyAlignment="1">
      <alignment wrapText="1"/>
    </xf>
    <xf numFmtId="164" fontId="21" fillId="0" borderId="1" xfId="0" applyNumberFormat="1" applyFont="1" applyBorder="1"/>
    <xf numFmtId="164" fontId="21" fillId="0" borderId="1" xfId="0" applyNumberFormat="1" applyFont="1" applyBorder="1" applyAlignment="1">
      <alignment vertical="top"/>
    </xf>
    <xf numFmtId="0" fontId="20" fillId="0" borderId="0" xfId="0" applyFont="1"/>
    <xf numFmtId="0" fontId="20" fillId="0" borderId="0" xfId="0" applyFont="1" applyAlignment="1">
      <alignment wrapText="1"/>
    </xf>
    <xf numFmtId="0" fontId="8" fillId="0" borderId="0" xfId="0" applyFont="1" applyAlignment="1">
      <alignment wrapText="1"/>
    </xf>
    <xf numFmtId="0" fontId="9" fillId="0" borderId="0" xfId="0" applyFont="1" applyAlignment="1">
      <alignment wrapText="1"/>
    </xf>
    <xf numFmtId="0" fontId="19" fillId="0" borderId="11" xfId="0" applyFont="1" applyBorder="1" applyAlignment="1">
      <alignment vertical="top" wrapText="1"/>
    </xf>
    <xf numFmtId="0" fontId="0" fillId="0" borderId="11" xfId="0" applyBorder="1"/>
    <xf numFmtId="0" fontId="9" fillId="0" borderId="11" xfId="0" applyFont="1" applyBorder="1" applyAlignment="1">
      <alignment wrapText="1"/>
    </xf>
    <xf numFmtId="0" fontId="8" fillId="0" borderId="1" xfId="0" applyFont="1" applyBorder="1"/>
    <xf numFmtId="164" fontId="0" fillId="0" borderId="11" xfId="0" applyNumberFormat="1" applyBorder="1"/>
    <xf numFmtId="16" fontId="0" fillId="0" borderId="11" xfId="0" applyNumberFormat="1" applyBorder="1"/>
    <xf numFmtId="0" fontId="0" fillId="0" borderId="11" xfId="0" applyBorder="1" applyAlignment="1">
      <alignment wrapText="1"/>
    </xf>
    <xf numFmtId="0" fontId="9" fillId="0" borderId="2" xfId="0" applyFont="1" applyBorder="1"/>
    <xf numFmtId="0" fontId="8" fillId="0" borderId="2" xfId="0" applyFont="1" applyBorder="1"/>
    <xf numFmtId="0" fontId="0" fillId="0" borderId="2" xfId="0" applyBorder="1"/>
    <xf numFmtId="164" fontId="15" fillId="0" borderId="4" xfId="0" applyNumberFormat="1" applyFont="1" applyBorder="1"/>
    <xf numFmtId="16" fontId="0" fillId="0" borderId="0" xfId="0" applyNumberFormat="1"/>
    <xf numFmtId="0" fontId="22" fillId="0" borderId="0" xfId="0" applyFont="1"/>
    <xf numFmtId="0" fontId="1" fillId="2" borderId="11" xfId="0" applyFont="1" applyFill="1" applyBorder="1" applyAlignment="1">
      <alignment vertical="top" wrapText="1"/>
    </xf>
    <xf numFmtId="0" fontId="1" fillId="2" borderId="11" xfId="0" applyFont="1" applyFill="1" applyBorder="1" applyAlignment="1">
      <alignment vertical="top"/>
    </xf>
    <xf numFmtId="0" fontId="1" fillId="2" borderId="11" xfId="0" applyFont="1" applyFill="1" applyBorder="1" applyAlignment="1">
      <alignment wrapText="1"/>
    </xf>
    <xf numFmtId="0" fontId="10" fillId="0" borderId="0" xfId="0" applyFont="1" applyAlignment="1">
      <alignment wrapText="1"/>
    </xf>
    <xf numFmtId="0" fontId="0" fillId="0" borderId="2" xfId="0" applyBorder="1" applyAlignment="1">
      <alignment vertical="top"/>
    </xf>
    <xf numFmtId="14" fontId="13" fillId="0" borderId="3" xfId="0" applyNumberFormat="1" applyFont="1" applyBorder="1"/>
    <xf numFmtId="0" fontId="25" fillId="0" borderId="0" xfId="0" applyFont="1" applyAlignment="1">
      <alignment vertical="top"/>
    </xf>
    <xf numFmtId="0" fontId="18" fillId="0" borderId="1" xfId="0" applyFont="1" applyBorder="1" applyAlignment="1">
      <alignment wrapText="1"/>
    </xf>
    <xf numFmtId="16" fontId="18" fillId="0" borderId="1" xfId="0" applyNumberFormat="1" applyFont="1" applyBorder="1" applyAlignment="1">
      <alignment wrapText="1"/>
    </xf>
    <xf numFmtId="0" fontId="26" fillId="0" borderId="0" xfId="1"/>
    <xf numFmtId="0" fontId="0" fillId="0" borderId="2" xfId="0" applyBorder="1" applyAlignment="1">
      <alignment horizontal="center" vertical="top"/>
    </xf>
    <xf numFmtId="0" fontId="0" fillId="0" borderId="12" xfId="0" applyBorder="1" applyAlignment="1">
      <alignment horizontal="center" vertical="top"/>
    </xf>
    <xf numFmtId="0" fontId="0" fillId="0" borderId="10" xfId="0" applyBorder="1" applyAlignment="1">
      <alignment horizontal="center" vertical="top"/>
    </xf>
    <xf numFmtId="0" fontId="5" fillId="0" borderId="0" xfId="0" applyFont="1" applyBorder="1" applyAlignment="1">
      <alignment wrapText="1"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Daljeet/Downloads/ABP_FY'26%20Issues%20v2%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3)"/>
      <sheetName val="Sheet2 (2)"/>
      <sheetName val="Summary new"/>
      <sheetName val="Summary"/>
      <sheetName val="Pivot"/>
      <sheetName val="Sheet4"/>
      <sheetName val="All"/>
      <sheetName val="Sheet2"/>
      <sheetName val="Sheet1"/>
      <sheetName val="Jan 25"/>
      <sheetName val="Feb 25"/>
      <sheetName val="Mar 25"/>
      <sheetName val="Apr 25"/>
      <sheetName val="May 25"/>
      <sheetName val="Jun 25"/>
      <sheetName val="ABP Enhancement"/>
      <sheetName val="List"/>
      <sheetName val="Sheet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hyperlink" Target="https://tatasteel.service-now.com/incident.do?sys_id=fafdf8f0971aea9059bb79b71153af5d&amp;sysparm_view=assign&amp;sysparm_record_target=incident&amp;sysparm_record_row=3&amp;sysparm_record_rows=50&amp;sysparm_record_list=active%3Dtrue%5Estate%3D1%5EORstate%3D8%5EORstate%3D3%5EORstate%3D4%5EORstate%3D5%5EORstate%3D9%5Eassignment_group%3Djavascript%3AgetMyGroups%28%29%5Eassignment_group.u_request_type%21%3DIMAC+Executors%5EORassignment_group.u_request_type%3DNULL%5Eassignment_group.u_request_type%21%3DIMAC+Asset+Team%5EORassignment_group.u_request_type%3DNULL%5Eassignment_group.u_request_type%21%3DIMAC+Port+Binding%5EORassignment_group.u_request_type%3DNULL%5Eassignment_group.u_request_type%21%3DIMAC+AD+Binding%5EORassignment_group.u_request_type%3DNULL%5EORDERBYDESCopened_at&amp;sysparm_view=assig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CA7DE-9F13-4172-9583-7B15DBC287F3}">
  <dimension ref="A1:D142"/>
  <sheetViews>
    <sheetView tabSelected="1" zoomScale="90" zoomScaleNormal="90" workbookViewId="0">
      <selection sqref="A1:A1048576"/>
    </sheetView>
  </sheetViews>
  <sheetFormatPr defaultColWidth="8.7265625" defaultRowHeight="12.5"/>
  <cols>
    <col min="1" max="1" width="34.453125" style="1" customWidth="1"/>
    <col min="2" max="2" width="76.453125" style="2" customWidth="1"/>
    <col min="3" max="3" width="64.54296875" style="2" customWidth="1"/>
    <col min="4" max="4" width="106.54296875" style="2" customWidth="1"/>
    <col min="5" max="5" width="79" style="1" bestFit="1" customWidth="1"/>
    <col min="6" max="16384" width="8.7265625" style="1"/>
  </cols>
  <sheetData>
    <row r="1" spans="1:3" ht="13">
      <c r="A1" s="10" t="s">
        <v>161</v>
      </c>
      <c r="B1" s="9" t="s">
        <v>160</v>
      </c>
      <c r="C1" s="9" t="s">
        <v>158</v>
      </c>
    </row>
    <row r="2" spans="1:3" ht="36.65" customHeight="1">
      <c r="A2" s="1" t="s">
        <v>103</v>
      </c>
      <c r="B2" s="2" t="s">
        <v>157</v>
      </c>
      <c r="C2" s="2" t="s">
        <v>679</v>
      </c>
    </row>
    <row r="3" spans="1:3" ht="15.65" customHeight="1">
      <c r="A3" s="1" t="s">
        <v>103</v>
      </c>
      <c r="B3" s="2" t="s">
        <v>156</v>
      </c>
      <c r="C3" s="2" t="s">
        <v>680</v>
      </c>
    </row>
    <row r="4" spans="1:3" ht="15.65" customHeight="1">
      <c r="A4" s="1" t="s">
        <v>103</v>
      </c>
      <c r="B4" s="2" t="s">
        <v>155</v>
      </c>
      <c r="C4" s="2" t="s">
        <v>681</v>
      </c>
    </row>
    <row r="5" spans="1:3">
      <c r="A5" s="1" t="s">
        <v>103</v>
      </c>
      <c r="B5" s="2" t="s">
        <v>154</v>
      </c>
      <c r="C5" s="2" t="s">
        <v>682</v>
      </c>
    </row>
    <row r="6" spans="1:3" ht="14.5" customHeight="1">
      <c r="A6" s="1" t="s">
        <v>103</v>
      </c>
      <c r="B6" s="2" t="s">
        <v>153</v>
      </c>
      <c r="C6" s="2" t="s">
        <v>683</v>
      </c>
    </row>
    <row r="7" spans="1:3" ht="14.15" customHeight="1">
      <c r="A7" s="1" t="s">
        <v>103</v>
      </c>
      <c r="B7" s="2" t="s">
        <v>152</v>
      </c>
      <c r="C7" s="2" t="s">
        <v>684</v>
      </c>
    </row>
    <row r="8" spans="1:3">
      <c r="A8" s="1" t="s">
        <v>103</v>
      </c>
      <c r="B8" s="2" t="s">
        <v>151</v>
      </c>
      <c r="C8" s="2" t="s">
        <v>685</v>
      </c>
    </row>
    <row r="9" spans="1:3" ht="25">
      <c r="A9" s="1" t="s">
        <v>103</v>
      </c>
      <c r="B9" s="2" t="s">
        <v>150</v>
      </c>
      <c r="C9" s="2" t="s">
        <v>686</v>
      </c>
    </row>
    <row r="10" spans="1:3">
      <c r="A10" s="1" t="s">
        <v>103</v>
      </c>
      <c r="B10" s="2" t="s">
        <v>149</v>
      </c>
      <c r="C10" s="2" t="s">
        <v>687</v>
      </c>
    </row>
    <row r="11" spans="1:3">
      <c r="A11" s="1" t="s">
        <v>103</v>
      </c>
      <c r="B11" s="2" t="s">
        <v>148</v>
      </c>
      <c r="C11" s="2" t="s">
        <v>688</v>
      </c>
    </row>
    <row r="12" spans="1:3">
      <c r="A12" s="1" t="s">
        <v>103</v>
      </c>
      <c r="B12" s="2" t="s">
        <v>147</v>
      </c>
      <c r="C12" s="2" t="s">
        <v>689</v>
      </c>
    </row>
    <row r="13" spans="1:3" ht="14.5">
      <c r="A13" s="6" t="s">
        <v>101</v>
      </c>
      <c r="B13" s="2" t="s">
        <v>146</v>
      </c>
      <c r="C13" s="2" t="s">
        <v>690</v>
      </c>
    </row>
    <row r="14" spans="1:3" ht="26">
      <c r="A14" s="6" t="s">
        <v>101</v>
      </c>
      <c r="B14" s="2" t="s">
        <v>145</v>
      </c>
      <c r="C14" s="2" t="s">
        <v>691</v>
      </c>
    </row>
    <row r="15" spans="1:3" ht="38.5">
      <c r="A15" s="6" t="s">
        <v>101</v>
      </c>
      <c r="B15" s="2" t="s">
        <v>144</v>
      </c>
      <c r="C15" s="2" t="s">
        <v>692</v>
      </c>
    </row>
    <row r="16" spans="1:3" ht="26">
      <c r="A16" s="6" t="s">
        <v>101</v>
      </c>
      <c r="B16" s="2" t="s">
        <v>143</v>
      </c>
      <c r="C16" s="2" t="s">
        <v>693</v>
      </c>
    </row>
    <row r="17" spans="1:3" ht="26">
      <c r="A17" s="6" t="s">
        <v>101</v>
      </c>
      <c r="B17" s="2" t="s">
        <v>142</v>
      </c>
      <c r="C17" s="2" t="s">
        <v>694</v>
      </c>
    </row>
    <row r="18" spans="1:3" ht="26">
      <c r="A18" s="6" t="s">
        <v>101</v>
      </c>
      <c r="B18" s="2" t="s">
        <v>141</v>
      </c>
      <c r="C18" s="2" t="s">
        <v>695</v>
      </c>
    </row>
    <row r="19" spans="1:3" ht="26">
      <c r="A19" s="6" t="s">
        <v>101</v>
      </c>
      <c r="B19" s="2" t="s">
        <v>140</v>
      </c>
      <c r="C19" s="2" t="s">
        <v>696</v>
      </c>
    </row>
    <row r="20" spans="1:3" ht="14.5">
      <c r="A20" s="6" t="s">
        <v>101</v>
      </c>
      <c r="B20" s="2" t="s">
        <v>139</v>
      </c>
      <c r="C20" s="2" t="s">
        <v>697</v>
      </c>
    </row>
    <row r="21" spans="1:3" ht="26">
      <c r="A21" s="6" t="s">
        <v>101</v>
      </c>
      <c r="B21" s="2" t="s">
        <v>138</v>
      </c>
      <c r="C21" s="2" t="s">
        <v>698</v>
      </c>
    </row>
    <row r="22" spans="1:3" ht="38.5">
      <c r="A22" s="6" t="s">
        <v>101</v>
      </c>
      <c r="B22" s="2" t="s">
        <v>137</v>
      </c>
      <c r="C22" s="2" t="s">
        <v>699</v>
      </c>
    </row>
    <row r="23" spans="1:3" ht="14.5">
      <c r="A23" s="6" t="s">
        <v>101</v>
      </c>
      <c r="B23" s="2" t="s">
        <v>136</v>
      </c>
      <c r="C23" s="2" t="s">
        <v>700</v>
      </c>
    </row>
    <row r="24" spans="1:3" ht="14.5">
      <c r="A24" s="6" t="s">
        <v>101</v>
      </c>
      <c r="B24" s="2" t="s">
        <v>135</v>
      </c>
      <c r="C24" s="2" t="s">
        <v>701</v>
      </c>
    </row>
    <row r="25" spans="1:3" ht="26">
      <c r="A25" s="6" t="s">
        <v>101</v>
      </c>
      <c r="B25" s="2" t="s">
        <v>134</v>
      </c>
      <c r="C25" s="2" t="s">
        <v>702</v>
      </c>
    </row>
    <row r="26" spans="1:3" ht="14.5">
      <c r="A26" s="6" t="s">
        <v>101</v>
      </c>
      <c r="B26" s="8" t="s">
        <v>132</v>
      </c>
      <c r="C26" s="2" t="s">
        <v>703</v>
      </c>
    </row>
    <row r="27" spans="1:3" ht="26">
      <c r="A27" s="6" t="s">
        <v>101</v>
      </c>
      <c r="B27" s="8" t="s">
        <v>131</v>
      </c>
      <c r="C27" s="2" t="s">
        <v>704</v>
      </c>
    </row>
    <row r="28" spans="1:3" ht="26">
      <c r="A28" s="6" t="s">
        <v>101</v>
      </c>
      <c r="B28" s="2" t="s">
        <v>130</v>
      </c>
      <c r="C28" s="2" t="s">
        <v>705</v>
      </c>
    </row>
    <row r="29" spans="1:3" ht="26">
      <c r="A29" s="6" t="s">
        <v>101</v>
      </c>
      <c r="B29" s="2" t="s">
        <v>128</v>
      </c>
      <c r="C29" s="2" t="s">
        <v>706</v>
      </c>
    </row>
    <row r="30" spans="1:3" ht="26">
      <c r="A30" s="6" t="s">
        <v>101</v>
      </c>
      <c r="B30" s="2" t="s">
        <v>127</v>
      </c>
      <c r="C30" s="2" t="s">
        <v>707</v>
      </c>
    </row>
    <row r="31" spans="1:3" ht="26">
      <c r="A31" s="6" t="s">
        <v>101</v>
      </c>
      <c r="B31" s="2" t="s">
        <v>126</v>
      </c>
      <c r="C31" s="2" t="s">
        <v>708</v>
      </c>
    </row>
    <row r="32" spans="1:3" ht="26">
      <c r="A32" s="6" t="s">
        <v>101</v>
      </c>
      <c r="B32" s="2" t="s">
        <v>124</v>
      </c>
      <c r="C32" s="2" t="s">
        <v>709</v>
      </c>
    </row>
    <row r="33" spans="1:3" ht="26">
      <c r="A33" s="6" t="s">
        <v>101</v>
      </c>
      <c r="B33" s="4" t="s">
        <v>122</v>
      </c>
      <c r="C33" s="2" t="s">
        <v>710</v>
      </c>
    </row>
    <row r="34" spans="1:3" ht="26">
      <c r="A34" s="6" t="s">
        <v>101</v>
      </c>
      <c r="B34" s="2" t="s">
        <v>121</v>
      </c>
      <c r="C34" s="2" t="s">
        <v>711</v>
      </c>
    </row>
    <row r="35" spans="1:3" ht="26">
      <c r="A35" s="6" t="s">
        <v>101</v>
      </c>
      <c r="B35" s="2" t="s">
        <v>120</v>
      </c>
      <c r="C35" s="2" t="s">
        <v>712</v>
      </c>
    </row>
    <row r="36" spans="1:3" ht="26">
      <c r="A36" s="6" t="s">
        <v>101</v>
      </c>
      <c r="B36" s="2" t="s">
        <v>119</v>
      </c>
      <c r="C36" s="2" t="s">
        <v>713</v>
      </c>
    </row>
    <row r="37" spans="1:3" ht="26">
      <c r="A37" s="6" t="s">
        <v>101</v>
      </c>
      <c r="B37" s="2" t="s">
        <v>118</v>
      </c>
      <c r="C37" s="2" t="s">
        <v>714</v>
      </c>
    </row>
    <row r="38" spans="1:3" ht="26">
      <c r="A38" s="6" t="s">
        <v>101</v>
      </c>
      <c r="B38" s="2" t="s">
        <v>117</v>
      </c>
      <c r="C38" s="2" t="s">
        <v>715</v>
      </c>
    </row>
    <row r="39" spans="1:3" ht="14.5">
      <c r="A39" s="6" t="s">
        <v>101</v>
      </c>
      <c r="B39" s="2" t="s">
        <v>116</v>
      </c>
      <c r="C39" s="2" t="s">
        <v>716</v>
      </c>
    </row>
    <row r="40" spans="1:3" ht="26">
      <c r="A40" s="6" t="s">
        <v>101</v>
      </c>
      <c r="B40" s="2" t="s">
        <v>114</v>
      </c>
      <c r="C40" s="2" t="s">
        <v>717</v>
      </c>
    </row>
    <row r="41" spans="1:3" ht="38.5">
      <c r="A41" s="6" t="s">
        <v>101</v>
      </c>
      <c r="B41" s="2" t="s">
        <v>112</v>
      </c>
      <c r="C41" s="2" t="s">
        <v>718</v>
      </c>
    </row>
    <row r="42" spans="1:3" ht="26">
      <c r="A42" s="6" t="s">
        <v>101</v>
      </c>
      <c r="B42" s="2" t="s">
        <v>110</v>
      </c>
      <c r="C42" s="2" t="s">
        <v>719</v>
      </c>
    </row>
    <row r="43" spans="1:3" ht="26">
      <c r="A43" s="6" t="s">
        <v>101</v>
      </c>
      <c r="B43" s="2" t="s">
        <v>109</v>
      </c>
      <c r="C43" s="2" t="s">
        <v>720</v>
      </c>
    </row>
    <row r="44" spans="1:3" ht="26">
      <c r="A44" s="6" t="s">
        <v>101</v>
      </c>
      <c r="B44" s="2" t="s">
        <v>107</v>
      </c>
      <c r="C44" s="2" t="s">
        <v>721</v>
      </c>
    </row>
    <row r="45" spans="1:3" ht="26">
      <c r="A45" s="6" t="s">
        <v>101</v>
      </c>
      <c r="B45" s="2" t="s">
        <v>106</v>
      </c>
      <c r="C45" s="2" t="s">
        <v>722</v>
      </c>
    </row>
    <row r="46" spans="1:3" ht="14.5">
      <c r="A46" s="6" t="s">
        <v>101</v>
      </c>
      <c r="B46" s="2" t="s">
        <v>105</v>
      </c>
      <c r="C46" s="2" t="s">
        <v>723</v>
      </c>
    </row>
    <row r="47" spans="1:3" ht="26">
      <c r="A47" s="6" t="s">
        <v>103</v>
      </c>
      <c r="B47" s="2" t="s">
        <v>102</v>
      </c>
      <c r="C47" s="2" t="s">
        <v>724</v>
      </c>
    </row>
    <row r="48" spans="1:3" ht="26">
      <c r="A48" s="6" t="s">
        <v>103</v>
      </c>
      <c r="B48" s="2" t="s">
        <v>102</v>
      </c>
      <c r="C48" s="2" t="s">
        <v>724</v>
      </c>
    </row>
    <row r="49" spans="1:3" ht="26">
      <c r="A49" s="6" t="s">
        <v>103</v>
      </c>
      <c r="B49" s="2" t="s">
        <v>102</v>
      </c>
      <c r="C49" s="2" t="s">
        <v>724</v>
      </c>
    </row>
    <row r="50" spans="1:3" ht="26">
      <c r="A50" s="6" t="s">
        <v>101</v>
      </c>
      <c r="B50" s="2" t="s">
        <v>100</v>
      </c>
      <c r="C50" s="2" t="s">
        <v>725</v>
      </c>
    </row>
    <row r="51" spans="1:3" ht="26">
      <c r="A51" s="6" t="s">
        <v>4</v>
      </c>
      <c r="B51" s="2" t="s">
        <v>100</v>
      </c>
      <c r="C51" s="2" t="s">
        <v>725</v>
      </c>
    </row>
    <row r="52" spans="1:3" ht="38.5">
      <c r="A52" s="6" t="s">
        <v>4</v>
      </c>
      <c r="B52" s="2" t="s">
        <v>99</v>
      </c>
      <c r="C52" s="2" t="s">
        <v>726</v>
      </c>
    </row>
    <row r="53" spans="1:3" ht="26">
      <c r="A53" s="6" t="s">
        <v>4</v>
      </c>
      <c r="B53" s="2" t="s">
        <v>98</v>
      </c>
      <c r="C53" s="2" t="s">
        <v>727</v>
      </c>
    </row>
    <row r="54" spans="1:3" ht="26">
      <c r="A54" s="6" t="s">
        <v>4</v>
      </c>
      <c r="B54" s="4" t="s">
        <v>97</v>
      </c>
      <c r="C54" s="2" t="s">
        <v>728</v>
      </c>
    </row>
    <row r="55" spans="1:3" ht="26">
      <c r="A55" s="6" t="s">
        <v>4</v>
      </c>
      <c r="B55" s="2" t="s">
        <v>96</v>
      </c>
      <c r="C55" s="2" t="s">
        <v>729</v>
      </c>
    </row>
    <row r="56" spans="1:3" ht="38.5">
      <c r="A56" s="6" t="s">
        <v>4</v>
      </c>
      <c r="B56" s="2" t="s">
        <v>95</v>
      </c>
      <c r="C56" s="2" t="s">
        <v>730</v>
      </c>
    </row>
    <row r="57" spans="1:3" ht="14.5">
      <c r="A57" s="6" t="s">
        <v>4</v>
      </c>
      <c r="B57" s="2" t="s">
        <v>94</v>
      </c>
      <c r="C57" s="2" t="s">
        <v>731</v>
      </c>
    </row>
    <row r="58" spans="1:3" ht="26">
      <c r="A58" s="6" t="s">
        <v>4</v>
      </c>
      <c r="B58" s="2" t="s">
        <v>94</v>
      </c>
      <c r="C58" s="2" t="s">
        <v>732</v>
      </c>
    </row>
    <row r="59" spans="1:3" ht="26">
      <c r="A59" s="6" t="s">
        <v>4</v>
      </c>
      <c r="B59" s="2" t="s">
        <v>94</v>
      </c>
      <c r="C59" s="2" t="s">
        <v>733</v>
      </c>
    </row>
    <row r="60" spans="1:3" ht="14.5">
      <c r="A60" s="6" t="s">
        <v>4</v>
      </c>
      <c r="B60" s="2" t="s">
        <v>93</v>
      </c>
      <c r="C60" s="2" t="s">
        <v>734</v>
      </c>
    </row>
    <row r="61" spans="1:3" ht="26">
      <c r="A61" s="6" t="s">
        <v>4</v>
      </c>
      <c r="B61" s="2" t="s">
        <v>92</v>
      </c>
      <c r="C61" s="2" t="s">
        <v>735</v>
      </c>
    </row>
    <row r="62" spans="1:3" ht="14.5">
      <c r="A62" s="6" t="s">
        <v>4</v>
      </c>
      <c r="B62" s="2" t="s">
        <v>91</v>
      </c>
      <c r="C62" s="2" t="s">
        <v>736</v>
      </c>
    </row>
    <row r="63" spans="1:3" ht="14.5">
      <c r="A63" s="6" t="s">
        <v>4</v>
      </c>
      <c r="B63" s="2" t="s">
        <v>90</v>
      </c>
      <c r="C63" s="2" t="s">
        <v>737</v>
      </c>
    </row>
    <row r="64" spans="1:3" ht="26">
      <c r="A64" s="6" t="s">
        <v>4</v>
      </c>
      <c r="B64" s="2" t="s">
        <v>88</v>
      </c>
      <c r="C64" s="2" t="s">
        <v>738</v>
      </c>
    </row>
    <row r="65" spans="1:3" ht="14.5">
      <c r="A65" s="6" t="s">
        <v>4</v>
      </c>
      <c r="B65" s="2" t="s">
        <v>87</v>
      </c>
      <c r="C65" s="2" t="s">
        <v>739</v>
      </c>
    </row>
    <row r="66" spans="1:3" ht="26">
      <c r="A66" s="6" t="s">
        <v>4</v>
      </c>
      <c r="B66" s="2" t="s">
        <v>86</v>
      </c>
      <c r="C66" s="2" t="s">
        <v>740</v>
      </c>
    </row>
    <row r="67" spans="1:3" ht="14">
      <c r="A67" s="7" t="s">
        <v>4</v>
      </c>
      <c r="B67" s="2" t="s">
        <v>85</v>
      </c>
      <c r="C67" s="2" t="s">
        <v>741</v>
      </c>
    </row>
    <row r="68" spans="1:3" ht="26">
      <c r="A68" s="6" t="s">
        <v>80</v>
      </c>
      <c r="B68" s="2" t="s">
        <v>84</v>
      </c>
      <c r="C68" s="2" t="s">
        <v>742</v>
      </c>
    </row>
    <row r="69" spans="1:3" ht="14.5">
      <c r="A69" s="6" t="s">
        <v>80</v>
      </c>
      <c r="B69" s="2" t="s">
        <v>83</v>
      </c>
      <c r="C69" s="2" t="s">
        <v>743</v>
      </c>
    </row>
    <row r="70" spans="1:3" ht="26">
      <c r="A70" s="6" t="s">
        <v>80</v>
      </c>
      <c r="B70" s="2" t="s">
        <v>82</v>
      </c>
      <c r="C70" s="2" t="s">
        <v>744</v>
      </c>
    </row>
    <row r="71" spans="1:3" ht="14.5">
      <c r="A71" s="6" t="s">
        <v>80</v>
      </c>
      <c r="B71" s="2" t="s">
        <v>81</v>
      </c>
      <c r="C71" s="2" t="s">
        <v>745</v>
      </c>
    </row>
    <row r="72" spans="1:3" ht="14.5">
      <c r="A72" s="6" t="s">
        <v>80</v>
      </c>
      <c r="B72" s="2" t="s">
        <v>79</v>
      </c>
      <c r="C72" s="2" t="s">
        <v>746</v>
      </c>
    </row>
    <row r="73" spans="1:3" ht="26">
      <c r="A73" s="6" t="s">
        <v>66</v>
      </c>
      <c r="B73" s="4" t="s">
        <v>78</v>
      </c>
      <c r="C73" s="2" t="s">
        <v>747</v>
      </c>
    </row>
    <row r="74" spans="1:3" ht="26">
      <c r="A74" s="6" t="s">
        <v>66</v>
      </c>
      <c r="B74" s="4" t="s">
        <v>77</v>
      </c>
      <c r="C74" s="2" t="s">
        <v>748</v>
      </c>
    </row>
    <row r="75" spans="1:3" ht="26">
      <c r="A75" s="6" t="s">
        <v>66</v>
      </c>
      <c r="B75" s="4" t="s">
        <v>76</v>
      </c>
      <c r="C75" s="2" t="s">
        <v>749</v>
      </c>
    </row>
    <row r="76" spans="1:3" ht="26">
      <c r="A76" s="6" t="s">
        <v>66</v>
      </c>
      <c r="B76" s="4" t="s">
        <v>75</v>
      </c>
      <c r="C76" s="2" t="s">
        <v>750</v>
      </c>
    </row>
    <row r="77" spans="1:3" ht="26">
      <c r="A77" s="6" t="s">
        <v>66</v>
      </c>
      <c r="B77" s="4" t="s">
        <v>74</v>
      </c>
      <c r="C77" s="2" t="s">
        <v>751</v>
      </c>
    </row>
    <row r="78" spans="1:3" ht="51">
      <c r="A78" s="6" t="s">
        <v>66</v>
      </c>
      <c r="B78" s="2" t="s">
        <v>73</v>
      </c>
      <c r="C78" s="2" t="s">
        <v>752</v>
      </c>
    </row>
    <row r="79" spans="1:3" ht="38.5">
      <c r="A79" s="6" t="s">
        <v>66</v>
      </c>
      <c r="B79" s="4" t="s">
        <v>72</v>
      </c>
      <c r="C79" s="2" t="s">
        <v>753</v>
      </c>
    </row>
    <row r="80" spans="1:3" ht="26">
      <c r="A80" s="6" t="s">
        <v>66</v>
      </c>
      <c r="B80" s="4" t="s">
        <v>71</v>
      </c>
      <c r="C80" s="2" t="s">
        <v>754</v>
      </c>
    </row>
    <row r="81" spans="1:3" ht="38.5">
      <c r="A81" s="6" t="s">
        <v>66</v>
      </c>
      <c r="B81" s="4" t="s">
        <v>70</v>
      </c>
      <c r="C81" s="2" t="s">
        <v>755</v>
      </c>
    </row>
    <row r="82" spans="1:3" ht="26">
      <c r="A82" s="6" t="s">
        <v>66</v>
      </c>
      <c r="B82" s="2" t="s">
        <v>69</v>
      </c>
      <c r="C82" s="2" t="s">
        <v>756</v>
      </c>
    </row>
    <row r="83" spans="1:3" ht="38.5">
      <c r="A83" s="6" t="s">
        <v>66</v>
      </c>
      <c r="B83" s="4" t="s">
        <v>68</v>
      </c>
      <c r="C83" s="2" t="s">
        <v>757</v>
      </c>
    </row>
    <row r="84" spans="1:3" ht="26">
      <c r="A84" s="6" t="s">
        <v>66</v>
      </c>
      <c r="B84" s="4" t="s">
        <v>67</v>
      </c>
      <c r="C84" s="2" t="s">
        <v>758</v>
      </c>
    </row>
    <row r="85" spans="1:3" ht="26">
      <c r="A85" s="6" t="s">
        <v>66</v>
      </c>
      <c r="B85" s="2" t="s">
        <v>65</v>
      </c>
      <c r="C85" s="2" t="s">
        <v>759</v>
      </c>
    </row>
    <row r="86" spans="1:3" ht="26">
      <c r="A86" s="6" t="s">
        <v>53</v>
      </c>
      <c r="B86" s="2" t="s">
        <v>64</v>
      </c>
      <c r="C86" s="2" t="s">
        <v>760</v>
      </c>
    </row>
    <row r="87" spans="1:3" ht="26">
      <c r="A87" s="6" t="s">
        <v>53</v>
      </c>
      <c r="B87" s="2" t="s">
        <v>63</v>
      </c>
      <c r="C87" s="2" t="s">
        <v>761</v>
      </c>
    </row>
    <row r="88" spans="1:3" ht="38.5">
      <c r="A88" s="6" t="s">
        <v>53</v>
      </c>
      <c r="B88" s="2" t="s">
        <v>61</v>
      </c>
      <c r="C88" s="2" t="s">
        <v>762</v>
      </c>
    </row>
    <row r="89" spans="1:3" ht="14.5">
      <c r="A89" s="6" t="s">
        <v>53</v>
      </c>
      <c r="B89" s="2" t="s">
        <v>60</v>
      </c>
      <c r="C89" s="2" t="s">
        <v>763</v>
      </c>
    </row>
    <row r="90" spans="1:3" ht="26">
      <c r="A90" s="6" t="s">
        <v>53</v>
      </c>
      <c r="B90" s="2" t="s">
        <v>59</v>
      </c>
      <c r="C90" s="2" t="s">
        <v>764</v>
      </c>
    </row>
    <row r="91" spans="1:3" ht="26">
      <c r="A91" s="6" t="s">
        <v>53</v>
      </c>
      <c r="B91" s="2" t="s">
        <v>58</v>
      </c>
      <c r="C91" s="2" t="s">
        <v>765</v>
      </c>
    </row>
    <row r="92" spans="1:3" ht="14.5">
      <c r="A92" s="6" t="s">
        <v>53</v>
      </c>
      <c r="B92" s="2" t="s">
        <v>57</v>
      </c>
      <c r="C92" s="2" t="s">
        <v>766</v>
      </c>
    </row>
    <row r="93" spans="1:3" ht="26">
      <c r="A93" s="6" t="s">
        <v>53</v>
      </c>
      <c r="B93" s="2" t="s">
        <v>56</v>
      </c>
      <c r="C93" s="2" t="s">
        <v>767</v>
      </c>
    </row>
    <row r="94" spans="1:3" ht="14.5">
      <c r="A94" s="6" t="s">
        <v>53</v>
      </c>
      <c r="B94" s="2" t="s">
        <v>54</v>
      </c>
      <c r="C94" s="2" t="s">
        <v>768</v>
      </c>
    </row>
    <row r="95" spans="1:3" ht="14.5">
      <c r="A95" s="6" t="s">
        <v>53</v>
      </c>
      <c r="B95" s="2" t="s">
        <v>51</v>
      </c>
      <c r="C95" s="2" t="s">
        <v>769</v>
      </c>
    </row>
    <row r="96" spans="1:3" ht="38.5">
      <c r="A96" s="6" t="s">
        <v>46</v>
      </c>
      <c r="B96" s="2" t="s">
        <v>50</v>
      </c>
      <c r="C96" s="2" t="s">
        <v>770</v>
      </c>
    </row>
    <row r="97" spans="1:3" ht="26">
      <c r="A97" s="6" t="s">
        <v>46</v>
      </c>
      <c r="B97" s="2" t="s">
        <v>49</v>
      </c>
      <c r="C97" s="2" t="s">
        <v>771</v>
      </c>
    </row>
    <row r="98" spans="1:3" ht="26">
      <c r="A98" s="6" t="s">
        <v>46</v>
      </c>
      <c r="B98" s="2" t="s">
        <v>48</v>
      </c>
      <c r="C98" s="2" t="s">
        <v>772</v>
      </c>
    </row>
    <row r="99" spans="1:3" ht="26">
      <c r="A99" s="6" t="s">
        <v>46</v>
      </c>
      <c r="B99" s="2" t="s">
        <v>47</v>
      </c>
      <c r="C99" s="2" t="s">
        <v>773</v>
      </c>
    </row>
    <row r="100" spans="1:3" ht="26">
      <c r="A100" s="6" t="s">
        <v>46</v>
      </c>
      <c r="B100" s="2" t="s">
        <v>45</v>
      </c>
      <c r="C100" s="2" t="s">
        <v>774</v>
      </c>
    </row>
    <row r="101" spans="1:3" ht="25">
      <c r="A101" s="1" t="s">
        <v>41</v>
      </c>
      <c r="B101" s="2" t="s">
        <v>44</v>
      </c>
      <c r="C101" s="2" t="s">
        <v>775</v>
      </c>
    </row>
    <row r="102" spans="1:3" ht="25">
      <c r="A102" s="1" t="s">
        <v>41</v>
      </c>
      <c r="B102" s="2" t="s">
        <v>43</v>
      </c>
      <c r="C102" s="2" t="s">
        <v>776</v>
      </c>
    </row>
    <row r="103" spans="1:3" ht="25">
      <c r="A103" s="1" t="s">
        <v>41</v>
      </c>
      <c r="B103" s="2" t="s">
        <v>42</v>
      </c>
      <c r="C103" s="2" t="s">
        <v>777</v>
      </c>
    </row>
    <row r="104" spans="1:3" ht="25">
      <c r="A104" s="1" t="s">
        <v>41</v>
      </c>
      <c r="B104" s="2" t="s">
        <v>40</v>
      </c>
      <c r="C104" s="2" t="s">
        <v>778</v>
      </c>
    </row>
    <row r="105" spans="1:3" ht="25.5">
      <c r="A105" s="7" t="s">
        <v>7</v>
      </c>
      <c r="B105" s="2" t="s">
        <v>38</v>
      </c>
      <c r="C105" s="2" t="s">
        <v>779</v>
      </c>
    </row>
    <row r="106" spans="1:3" ht="38">
      <c r="A106" s="7" t="s">
        <v>7</v>
      </c>
      <c r="B106" s="2" t="s">
        <v>37</v>
      </c>
      <c r="C106" s="2" t="s">
        <v>780</v>
      </c>
    </row>
    <row r="107" spans="1:3" ht="14">
      <c r="A107" s="7" t="s">
        <v>7</v>
      </c>
      <c r="C107" s="2" t="s">
        <v>781</v>
      </c>
    </row>
    <row r="108" spans="1:3" ht="14">
      <c r="A108" s="7" t="s">
        <v>7</v>
      </c>
      <c r="B108" s="2" t="s">
        <v>34</v>
      </c>
      <c r="C108" s="2" t="s">
        <v>782</v>
      </c>
    </row>
    <row r="109" spans="1:3" ht="50.5">
      <c r="A109" s="7" t="s">
        <v>7</v>
      </c>
      <c r="B109" s="2" t="s">
        <v>33</v>
      </c>
      <c r="C109" s="2" t="s">
        <v>783</v>
      </c>
    </row>
    <row r="110" spans="1:3" ht="25.5">
      <c r="A110" s="7" t="s">
        <v>7</v>
      </c>
      <c r="B110" s="2" t="s">
        <v>31</v>
      </c>
      <c r="C110" s="2" t="s">
        <v>784</v>
      </c>
    </row>
    <row r="111" spans="1:3" ht="25.5">
      <c r="A111" s="7" t="s">
        <v>7</v>
      </c>
      <c r="B111" s="2" t="s">
        <v>30</v>
      </c>
      <c r="C111" s="2" t="s">
        <v>785</v>
      </c>
    </row>
    <row r="112" spans="1:3" ht="14">
      <c r="A112" s="7" t="s">
        <v>7</v>
      </c>
      <c r="B112" s="2" t="s">
        <v>29</v>
      </c>
      <c r="C112" s="2" t="s">
        <v>786</v>
      </c>
    </row>
    <row r="113" spans="1:3" ht="25.5">
      <c r="A113" s="7" t="s">
        <v>7</v>
      </c>
      <c r="B113" s="2" t="s">
        <v>28</v>
      </c>
      <c r="C113" s="2" t="s">
        <v>787</v>
      </c>
    </row>
    <row r="114" spans="1:3" ht="14">
      <c r="A114" s="7" t="s">
        <v>7</v>
      </c>
      <c r="B114" s="2" t="s">
        <v>27</v>
      </c>
      <c r="C114" s="2" t="s">
        <v>788</v>
      </c>
    </row>
    <row r="115" spans="1:3" ht="25.5">
      <c r="A115" s="7" t="s">
        <v>7</v>
      </c>
      <c r="B115" s="2" t="s">
        <v>26</v>
      </c>
      <c r="C115" s="2" t="s">
        <v>789</v>
      </c>
    </row>
    <row r="116" spans="1:3" ht="14">
      <c r="A116" s="7" t="s">
        <v>7</v>
      </c>
      <c r="B116" s="2" t="s">
        <v>25</v>
      </c>
      <c r="C116" s="2" t="s">
        <v>790</v>
      </c>
    </row>
    <row r="117" spans="1:3" ht="14">
      <c r="A117" s="7" t="s">
        <v>7</v>
      </c>
      <c r="B117" s="2" t="s">
        <v>24</v>
      </c>
      <c r="C117" s="2" t="s">
        <v>791</v>
      </c>
    </row>
    <row r="118" spans="1:3" ht="14">
      <c r="A118" s="7" t="s">
        <v>7</v>
      </c>
      <c r="B118" s="2" t="s">
        <v>22</v>
      </c>
      <c r="C118" s="2" t="s">
        <v>792</v>
      </c>
    </row>
    <row r="119" spans="1:3" ht="25.5">
      <c r="A119" s="7" t="s">
        <v>7</v>
      </c>
      <c r="B119" s="2" t="s">
        <v>21</v>
      </c>
      <c r="C119" s="2" t="s">
        <v>793</v>
      </c>
    </row>
    <row r="120" spans="1:3" ht="25.5">
      <c r="A120" s="7" t="s">
        <v>7</v>
      </c>
      <c r="B120" s="2" t="s">
        <v>20</v>
      </c>
      <c r="C120" s="2" t="s">
        <v>794</v>
      </c>
    </row>
    <row r="121" spans="1:3" ht="25.5">
      <c r="A121" s="7" t="s">
        <v>7</v>
      </c>
      <c r="B121" s="2" t="s">
        <v>19</v>
      </c>
      <c r="C121" s="2" t="s">
        <v>795</v>
      </c>
    </row>
    <row r="122" spans="1:3" ht="25.5">
      <c r="A122" s="7" t="s">
        <v>7</v>
      </c>
      <c r="B122" s="2" t="s">
        <v>18</v>
      </c>
      <c r="C122" s="2" t="s">
        <v>796</v>
      </c>
    </row>
    <row r="123" spans="1:3" ht="25.5">
      <c r="A123" s="7" t="s">
        <v>7</v>
      </c>
      <c r="B123" s="2" t="s">
        <v>17</v>
      </c>
      <c r="C123" s="2" t="s">
        <v>797</v>
      </c>
    </row>
    <row r="124" spans="1:3" ht="25.5">
      <c r="A124" s="7" t="s">
        <v>7</v>
      </c>
      <c r="B124" s="2" t="s">
        <v>15</v>
      </c>
      <c r="C124" s="2" t="s">
        <v>798</v>
      </c>
    </row>
    <row r="125" spans="1:3" ht="25.5">
      <c r="A125" s="7" t="s">
        <v>7</v>
      </c>
      <c r="B125" s="2" t="s">
        <v>13</v>
      </c>
      <c r="C125" s="2" t="s">
        <v>799</v>
      </c>
    </row>
    <row r="126" spans="1:3" ht="14">
      <c r="A126" s="7" t="s">
        <v>7</v>
      </c>
      <c r="B126" s="2" t="s">
        <v>11</v>
      </c>
      <c r="C126" s="2" t="s">
        <v>800</v>
      </c>
    </row>
    <row r="127" spans="1:3" ht="14">
      <c r="A127" s="7" t="s">
        <v>7</v>
      </c>
      <c r="B127" s="2" t="s">
        <v>10</v>
      </c>
      <c r="C127" s="2" t="s">
        <v>801</v>
      </c>
    </row>
    <row r="128" spans="1:3" ht="38">
      <c r="A128" s="7" t="s">
        <v>7</v>
      </c>
      <c r="B128" s="2" t="s">
        <v>8</v>
      </c>
      <c r="C128" s="2" t="s">
        <v>802</v>
      </c>
    </row>
    <row r="129" spans="1:4" ht="14">
      <c r="A129" s="7" t="s">
        <v>7</v>
      </c>
      <c r="B129" s="2" t="s">
        <v>5</v>
      </c>
      <c r="C129" s="2" t="s">
        <v>803</v>
      </c>
    </row>
    <row r="130" spans="1:4" ht="14.5">
      <c r="A130" s="6" t="s">
        <v>4</v>
      </c>
      <c r="B130" s="2" t="s">
        <v>3</v>
      </c>
    </row>
    <row r="131" spans="1:4">
      <c r="A131" s="1" t="s">
        <v>2</v>
      </c>
      <c r="B131" s="2" t="s">
        <v>0</v>
      </c>
    </row>
    <row r="136" spans="1:4" ht="14">
      <c r="B136" s="5"/>
      <c r="C136" s="3"/>
      <c r="D136" s="3"/>
    </row>
    <row r="137" spans="1:4" ht="14">
      <c r="B137" s="4"/>
      <c r="C137" s="3"/>
      <c r="D137" s="3"/>
    </row>
    <row r="138" spans="1:4" ht="14">
      <c r="B138" s="4"/>
      <c r="C138" s="3"/>
      <c r="D138" s="3"/>
    </row>
    <row r="139" spans="1:4" ht="14">
      <c r="B139" s="4"/>
      <c r="C139" s="3"/>
      <c r="D139" s="3"/>
    </row>
    <row r="140" spans="1:4" ht="14">
      <c r="B140" s="4"/>
      <c r="C140" s="3"/>
      <c r="D140" s="3"/>
    </row>
    <row r="141" spans="1:4" ht="14">
      <c r="B141" s="4"/>
      <c r="C141" s="3"/>
      <c r="D141" s="3"/>
    </row>
    <row r="142" spans="1:4" ht="14">
      <c r="B142" s="3"/>
      <c r="C142" s="3"/>
      <c r="D142" s="3"/>
    </row>
  </sheetData>
  <autoFilter ref="A1:E131" xr:uid="{3C091B37-A993-4913-B095-924BB708172C}"/>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FA2E8-93A9-4742-82C4-26F2C3246452}">
  <dimension ref="A1:A142"/>
  <sheetViews>
    <sheetView workbookViewId="0">
      <selection activeCell="A2" sqref="A2:A11"/>
    </sheetView>
  </sheetViews>
  <sheetFormatPr defaultRowHeight="14.5"/>
  <cols>
    <col min="1" max="1" width="34.453125" style="1" customWidth="1"/>
  </cols>
  <sheetData>
    <row r="1" spans="1:1">
      <c r="A1" s="10" t="s">
        <v>161</v>
      </c>
    </row>
    <row r="2" spans="1:1">
      <c r="A2" s="1" t="s">
        <v>103</v>
      </c>
    </row>
    <row r="3" spans="1:1">
      <c r="A3" s="6" t="s">
        <v>101</v>
      </c>
    </row>
    <row r="4" spans="1:1">
      <c r="A4" s="6" t="s">
        <v>4</v>
      </c>
    </row>
    <row r="5" spans="1:1">
      <c r="A5" s="6" t="s">
        <v>80</v>
      </c>
    </row>
    <row r="6" spans="1:1">
      <c r="A6" s="6" t="s">
        <v>66</v>
      </c>
    </row>
    <row r="7" spans="1:1">
      <c r="A7" s="6" t="s">
        <v>53</v>
      </c>
    </row>
    <row r="8" spans="1:1">
      <c r="A8" s="6" t="s">
        <v>46</v>
      </c>
    </row>
    <row r="9" spans="1:1">
      <c r="A9" s="1" t="s">
        <v>41</v>
      </c>
    </row>
    <row r="10" spans="1:1">
      <c r="A10" s="140" t="s">
        <v>7</v>
      </c>
    </row>
    <row r="11" spans="1:1">
      <c r="A11" s="1" t="s">
        <v>2</v>
      </c>
    </row>
    <row r="13" spans="1:1">
      <c r="A13"/>
    </row>
    <row r="14" spans="1:1">
      <c r="A14"/>
    </row>
    <row r="15" spans="1:1">
      <c r="A15"/>
    </row>
    <row r="16" spans="1:1">
      <c r="A16"/>
    </row>
    <row r="17" spans="1:1">
      <c r="A17"/>
    </row>
    <row r="18" spans="1:1">
      <c r="A18"/>
    </row>
    <row r="19" spans="1:1">
      <c r="A19"/>
    </row>
    <row r="20" spans="1:1">
      <c r="A20"/>
    </row>
    <row r="21" spans="1:1">
      <c r="A21"/>
    </row>
    <row r="22" spans="1:1">
      <c r="A22"/>
    </row>
    <row r="23" spans="1:1">
      <c r="A23"/>
    </row>
    <row r="24" spans="1:1">
      <c r="A24"/>
    </row>
    <row r="25" spans="1:1">
      <c r="A25"/>
    </row>
    <row r="26" spans="1:1">
      <c r="A26"/>
    </row>
    <row r="27" spans="1:1">
      <c r="A27"/>
    </row>
    <row r="28" spans="1:1">
      <c r="A28"/>
    </row>
    <row r="29" spans="1:1">
      <c r="A29"/>
    </row>
    <row r="30" spans="1:1">
      <c r="A30"/>
    </row>
    <row r="31" spans="1:1">
      <c r="A31"/>
    </row>
    <row r="32" spans="1:1">
      <c r="A32"/>
    </row>
    <row r="33" spans="1:1">
      <c r="A33"/>
    </row>
    <row r="34" spans="1:1">
      <c r="A34"/>
    </row>
    <row r="35" spans="1:1">
      <c r="A35"/>
    </row>
    <row r="36" spans="1:1">
      <c r="A36"/>
    </row>
    <row r="37" spans="1:1">
      <c r="A37"/>
    </row>
    <row r="38" spans="1:1">
      <c r="A38"/>
    </row>
    <row r="39" spans="1:1">
      <c r="A39"/>
    </row>
    <row r="40" spans="1:1">
      <c r="A40"/>
    </row>
    <row r="41" spans="1:1">
      <c r="A41"/>
    </row>
    <row r="42" spans="1:1">
      <c r="A42"/>
    </row>
    <row r="43" spans="1:1">
      <c r="A43"/>
    </row>
    <row r="44" spans="1:1">
      <c r="A44"/>
    </row>
    <row r="45" spans="1:1">
      <c r="A45"/>
    </row>
    <row r="46" spans="1:1">
      <c r="A46"/>
    </row>
    <row r="47" spans="1:1">
      <c r="A47"/>
    </row>
    <row r="48" spans="1:1">
      <c r="A48"/>
    </row>
    <row r="49" spans="1:1">
      <c r="A49"/>
    </row>
    <row r="50" spans="1:1">
      <c r="A50"/>
    </row>
    <row r="51" spans="1:1">
      <c r="A51"/>
    </row>
    <row r="52" spans="1:1">
      <c r="A52"/>
    </row>
    <row r="53" spans="1:1">
      <c r="A53"/>
    </row>
    <row r="54" spans="1:1">
      <c r="A54"/>
    </row>
    <row r="55" spans="1:1">
      <c r="A55"/>
    </row>
    <row r="56" spans="1:1">
      <c r="A56"/>
    </row>
    <row r="57" spans="1:1">
      <c r="A57"/>
    </row>
    <row r="58" spans="1:1">
      <c r="A58"/>
    </row>
    <row r="59" spans="1:1">
      <c r="A59"/>
    </row>
    <row r="60" spans="1:1">
      <c r="A60"/>
    </row>
    <row r="61" spans="1:1">
      <c r="A61"/>
    </row>
    <row r="62" spans="1:1">
      <c r="A62"/>
    </row>
    <row r="63" spans="1:1">
      <c r="A63"/>
    </row>
    <row r="64" spans="1:1">
      <c r="A64"/>
    </row>
    <row r="65" spans="1:1">
      <c r="A65"/>
    </row>
    <row r="66" spans="1:1">
      <c r="A66"/>
    </row>
    <row r="67" spans="1:1">
      <c r="A67"/>
    </row>
    <row r="68" spans="1:1">
      <c r="A68"/>
    </row>
    <row r="69" spans="1:1">
      <c r="A69"/>
    </row>
    <row r="70" spans="1:1">
      <c r="A70"/>
    </row>
    <row r="71" spans="1:1">
      <c r="A71"/>
    </row>
    <row r="72" spans="1:1">
      <c r="A72"/>
    </row>
    <row r="73" spans="1:1">
      <c r="A73"/>
    </row>
    <row r="74" spans="1:1">
      <c r="A74"/>
    </row>
    <row r="75" spans="1:1">
      <c r="A75"/>
    </row>
    <row r="76" spans="1:1">
      <c r="A76"/>
    </row>
    <row r="77" spans="1:1">
      <c r="A77"/>
    </row>
    <row r="78" spans="1:1">
      <c r="A78"/>
    </row>
    <row r="79" spans="1:1">
      <c r="A79"/>
    </row>
    <row r="80" spans="1:1">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row r="111" spans="1:1">
      <c r="A111"/>
    </row>
    <row r="112" spans="1:1">
      <c r="A112"/>
    </row>
    <row r="113" spans="1:1">
      <c r="A113"/>
    </row>
    <row r="114" spans="1:1">
      <c r="A114"/>
    </row>
    <row r="115" spans="1:1">
      <c r="A115"/>
    </row>
    <row r="116" spans="1:1">
      <c r="A116"/>
    </row>
    <row r="117" spans="1:1">
      <c r="A117"/>
    </row>
    <row r="118" spans="1:1">
      <c r="A118"/>
    </row>
    <row r="119" spans="1:1">
      <c r="A119"/>
    </row>
    <row r="120" spans="1:1">
      <c r="A120"/>
    </row>
    <row r="121" spans="1:1">
      <c r="A121"/>
    </row>
    <row r="122" spans="1:1">
      <c r="A122"/>
    </row>
    <row r="123" spans="1:1">
      <c r="A123"/>
    </row>
    <row r="124" spans="1:1">
      <c r="A124"/>
    </row>
    <row r="125" spans="1:1">
      <c r="A125"/>
    </row>
    <row r="126" spans="1:1">
      <c r="A126"/>
    </row>
    <row r="127" spans="1:1">
      <c r="A127"/>
    </row>
    <row r="128" spans="1:1">
      <c r="A128"/>
    </row>
    <row r="129" spans="1:1">
      <c r="A129"/>
    </row>
    <row r="130" spans="1:1">
      <c r="A130"/>
    </row>
    <row r="131" spans="1:1">
      <c r="A131"/>
    </row>
    <row r="132" spans="1:1">
      <c r="A132"/>
    </row>
    <row r="133" spans="1:1">
      <c r="A133"/>
    </row>
    <row r="134" spans="1:1">
      <c r="A134"/>
    </row>
    <row r="135" spans="1:1">
      <c r="A135"/>
    </row>
    <row r="136" spans="1:1">
      <c r="A136"/>
    </row>
    <row r="137" spans="1:1">
      <c r="A137"/>
    </row>
    <row r="138" spans="1:1">
      <c r="A138"/>
    </row>
    <row r="139" spans="1:1">
      <c r="A139"/>
    </row>
    <row r="140" spans="1:1">
      <c r="A140"/>
    </row>
    <row r="141" spans="1:1">
      <c r="A141"/>
    </row>
    <row r="142" spans="1:1">
      <c r="A14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CC398-38E1-4E71-BBBC-551DAECE7BB2}">
  <dimension ref="A1:K151"/>
  <sheetViews>
    <sheetView workbookViewId="0">
      <selection activeCell="C107" sqref="C107"/>
    </sheetView>
  </sheetViews>
  <sheetFormatPr defaultColWidth="9.1796875" defaultRowHeight="14.5"/>
  <cols>
    <col min="1" max="1" width="9.54296875" style="11" bestFit="1" customWidth="1"/>
    <col min="2" max="2" width="7.7265625" style="11" bestFit="1" customWidth="1"/>
    <col min="3" max="3" width="9.1796875" style="11"/>
    <col min="4" max="4" width="9.1796875" style="11" customWidth="1"/>
    <col min="5" max="5" width="12.7265625" style="11" customWidth="1"/>
    <col min="6" max="6" width="47.7265625" style="11" customWidth="1"/>
    <col min="7" max="7" width="20" style="11" customWidth="1"/>
    <col min="8" max="8" width="10.81640625" style="13" customWidth="1"/>
    <col min="9" max="9" width="17" style="13" bestFit="1" customWidth="1"/>
    <col min="10" max="10" width="29.453125" style="12" customWidth="1"/>
    <col min="11" max="11" width="26.453125" style="11" customWidth="1"/>
    <col min="12" max="16384" width="9.1796875" style="11"/>
  </cols>
  <sheetData>
    <row r="1" spans="1:11" s="43" customFormat="1">
      <c r="A1" s="48" t="s">
        <v>292</v>
      </c>
      <c r="B1" s="48" t="s">
        <v>291</v>
      </c>
      <c r="C1" s="48" t="s">
        <v>290</v>
      </c>
      <c r="D1" s="48" t="s">
        <v>289</v>
      </c>
      <c r="E1" s="48" t="s">
        <v>288</v>
      </c>
      <c r="F1" s="48" t="s">
        <v>287</v>
      </c>
      <c r="G1" s="48" t="s">
        <v>286</v>
      </c>
      <c r="H1" s="47" t="s">
        <v>285</v>
      </c>
      <c r="I1" s="46" t="s">
        <v>284</v>
      </c>
      <c r="J1" s="45" t="s">
        <v>283</v>
      </c>
      <c r="K1" s="44" t="s">
        <v>159</v>
      </c>
    </row>
    <row r="2" spans="1:11">
      <c r="A2" s="20">
        <v>7465682</v>
      </c>
      <c r="B2" s="20" t="s">
        <v>247</v>
      </c>
      <c r="C2" s="20" t="s">
        <v>238</v>
      </c>
      <c r="D2" s="20" t="s">
        <v>173</v>
      </c>
      <c r="E2" s="20" t="s">
        <v>228</v>
      </c>
      <c r="F2" s="20" t="s">
        <v>282</v>
      </c>
      <c r="G2" s="20" t="s">
        <v>162</v>
      </c>
      <c r="H2" s="42">
        <v>45684</v>
      </c>
      <c r="I2" s="41">
        <v>45684</v>
      </c>
      <c r="J2" s="14">
        <f t="shared" ref="J2:J12" si="0">I2-H2</f>
        <v>0</v>
      </c>
      <c r="K2" s="20"/>
    </row>
    <row r="3" spans="1:11">
      <c r="A3" s="20">
        <v>7483704</v>
      </c>
      <c r="B3" s="20" t="s">
        <v>247</v>
      </c>
      <c r="C3" s="20" t="s">
        <v>238</v>
      </c>
      <c r="D3" s="20" t="s">
        <v>173</v>
      </c>
      <c r="E3" s="20" t="s">
        <v>228</v>
      </c>
      <c r="F3" s="20" t="s">
        <v>281</v>
      </c>
      <c r="G3" s="20" t="s">
        <v>162</v>
      </c>
      <c r="H3" s="42">
        <v>45688</v>
      </c>
      <c r="I3" s="41">
        <v>45689</v>
      </c>
      <c r="J3" s="14">
        <f t="shared" si="0"/>
        <v>1</v>
      </c>
      <c r="K3" s="20"/>
    </row>
    <row r="4" spans="1:11" customFormat="1">
      <c r="A4" s="40">
        <v>7397586</v>
      </c>
      <c r="B4" s="39" t="s">
        <v>280</v>
      </c>
      <c r="C4" s="23" t="s">
        <v>251</v>
      </c>
      <c r="D4" s="23" t="s">
        <v>267</v>
      </c>
      <c r="E4" s="39" t="s">
        <v>279</v>
      </c>
      <c r="F4" s="39" t="s">
        <v>278</v>
      </c>
      <c r="G4" s="23" t="s">
        <v>178</v>
      </c>
      <c r="H4" s="38">
        <v>45666</v>
      </c>
      <c r="I4" s="38">
        <v>45667</v>
      </c>
      <c r="J4" s="34">
        <f t="shared" si="0"/>
        <v>1</v>
      </c>
      <c r="K4" s="23"/>
    </row>
    <row r="5" spans="1:11" customFormat="1">
      <c r="A5" s="37">
        <v>7415485</v>
      </c>
      <c r="B5" s="36" t="s">
        <v>14</v>
      </c>
      <c r="C5" s="23" t="s">
        <v>251</v>
      </c>
      <c r="D5" s="23" t="s">
        <v>267</v>
      </c>
      <c r="E5" s="23" t="s">
        <v>267</v>
      </c>
      <c r="F5" s="36" t="s">
        <v>277</v>
      </c>
      <c r="G5" s="23" t="s">
        <v>162</v>
      </c>
      <c r="H5" s="38">
        <v>45672</v>
      </c>
      <c r="I5" s="38">
        <v>45674</v>
      </c>
      <c r="J5" s="34">
        <f t="shared" si="0"/>
        <v>2</v>
      </c>
      <c r="K5" s="23"/>
    </row>
    <row r="6" spans="1:11" customFormat="1">
      <c r="A6" s="37">
        <v>7439717</v>
      </c>
      <c r="B6" s="36" t="s">
        <v>14</v>
      </c>
      <c r="C6" s="23" t="s">
        <v>276</v>
      </c>
      <c r="D6" s="23" t="s">
        <v>267</v>
      </c>
      <c r="E6" s="23" t="s">
        <v>267</v>
      </c>
      <c r="F6" s="36" t="s">
        <v>275</v>
      </c>
      <c r="G6" s="23" t="s">
        <v>190</v>
      </c>
      <c r="H6" s="38">
        <v>45677</v>
      </c>
      <c r="I6" s="38">
        <v>45687</v>
      </c>
      <c r="J6" s="34">
        <f t="shared" si="0"/>
        <v>10</v>
      </c>
      <c r="K6" s="23"/>
    </row>
    <row r="7" spans="1:11" customFormat="1">
      <c r="A7" s="37">
        <v>7472155</v>
      </c>
      <c r="B7" s="36" t="s">
        <v>269</v>
      </c>
      <c r="C7" s="23" t="s">
        <v>39</v>
      </c>
      <c r="D7" s="23" t="s">
        <v>268</v>
      </c>
      <c r="E7" s="24" t="s">
        <v>274</v>
      </c>
      <c r="F7" s="36" t="s">
        <v>273</v>
      </c>
      <c r="G7" s="23" t="s">
        <v>178</v>
      </c>
      <c r="H7" s="38">
        <v>45685</v>
      </c>
      <c r="I7" s="38">
        <v>45686</v>
      </c>
      <c r="J7" s="34">
        <f t="shared" si="0"/>
        <v>1</v>
      </c>
      <c r="K7" s="23"/>
    </row>
    <row r="8" spans="1:11" customFormat="1">
      <c r="A8" s="37">
        <v>7482087</v>
      </c>
      <c r="B8" s="36" t="s">
        <v>269</v>
      </c>
      <c r="C8" s="23" t="s">
        <v>251</v>
      </c>
      <c r="D8" s="23" t="s">
        <v>268</v>
      </c>
      <c r="E8" s="23" t="s">
        <v>267</v>
      </c>
      <c r="F8" s="36" t="s">
        <v>272</v>
      </c>
      <c r="G8" s="23" t="s">
        <v>170</v>
      </c>
      <c r="H8" s="38">
        <v>45688</v>
      </c>
      <c r="I8" s="38">
        <v>45691</v>
      </c>
      <c r="J8" s="34">
        <f t="shared" si="0"/>
        <v>3</v>
      </c>
      <c r="K8" s="23"/>
    </row>
    <row r="9" spans="1:11" customFormat="1">
      <c r="A9" s="37">
        <v>7483011</v>
      </c>
      <c r="B9" s="36" t="s">
        <v>269</v>
      </c>
      <c r="C9" s="23" t="s">
        <v>251</v>
      </c>
      <c r="D9" s="23" t="s">
        <v>268</v>
      </c>
      <c r="E9" s="23" t="s">
        <v>267</v>
      </c>
      <c r="F9" s="36" t="s">
        <v>271</v>
      </c>
      <c r="G9" s="23" t="s">
        <v>178</v>
      </c>
      <c r="H9" s="38">
        <v>45688</v>
      </c>
      <c r="I9" s="38">
        <v>45688</v>
      </c>
      <c r="J9" s="34">
        <f t="shared" si="0"/>
        <v>0</v>
      </c>
      <c r="K9" s="23"/>
    </row>
    <row r="10" spans="1:11" customFormat="1">
      <c r="A10" s="37">
        <v>7483012</v>
      </c>
      <c r="B10" s="36" t="s">
        <v>269</v>
      </c>
      <c r="C10" s="23" t="s">
        <v>251</v>
      </c>
      <c r="D10" s="23" t="s">
        <v>268</v>
      </c>
      <c r="E10" s="23" t="s">
        <v>267</v>
      </c>
      <c r="F10" s="36" t="s">
        <v>270</v>
      </c>
      <c r="G10" s="23" t="s">
        <v>162</v>
      </c>
      <c r="H10" s="38">
        <v>45688</v>
      </c>
      <c r="I10" s="38">
        <v>45688</v>
      </c>
      <c r="J10" s="34">
        <f t="shared" si="0"/>
        <v>0</v>
      </c>
      <c r="K10" s="23"/>
    </row>
    <row r="11" spans="1:11" customFormat="1">
      <c r="A11" s="37">
        <v>7483105</v>
      </c>
      <c r="B11" s="36" t="s">
        <v>269</v>
      </c>
      <c r="C11" s="23" t="s">
        <v>251</v>
      </c>
      <c r="D11" s="23" t="s">
        <v>268</v>
      </c>
      <c r="E11" s="23" t="s">
        <v>267</v>
      </c>
      <c r="F11" s="36" t="s">
        <v>266</v>
      </c>
      <c r="G11" s="23" t="s">
        <v>168</v>
      </c>
      <c r="H11" s="35">
        <v>45688</v>
      </c>
      <c r="I11" s="35">
        <v>45694</v>
      </c>
      <c r="J11" s="34">
        <f t="shared" si="0"/>
        <v>6</v>
      </c>
      <c r="K11" s="23"/>
    </row>
    <row r="12" spans="1:11">
      <c r="A12" s="11" t="s">
        <v>167</v>
      </c>
      <c r="B12" s="31" t="s">
        <v>247</v>
      </c>
      <c r="C12" s="33" t="s">
        <v>251</v>
      </c>
      <c r="D12" s="33" t="s">
        <v>259</v>
      </c>
      <c r="E12" s="32" t="s">
        <v>265</v>
      </c>
      <c r="F12" s="31" t="s">
        <v>264</v>
      </c>
      <c r="G12" s="20" t="s">
        <v>168</v>
      </c>
      <c r="H12" s="13">
        <v>45677</v>
      </c>
      <c r="I12" s="13">
        <v>45677</v>
      </c>
      <c r="J12" s="14">
        <f t="shared" si="0"/>
        <v>0</v>
      </c>
    </row>
    <row r="13" spans="1:11" customFormat="1">
      <c r="A13" t="s">
        <v>167</v>
      </c>
      <c r="B13" s="28" t="s">
        <v>12</v>
      </c>
      <c r="C13" s="25" t="s">
        <v>251</v>
      </c>
      <c r="D13" s="25" t="s">
        <v>259</v>
      </c>
      <c r="E13" s="29" t="s">
        <v>261</v>
      </c>
      <c r="F13" s="28" t="s">
        <v>263</v>
      </c>
      <c r="G13" s="23" t="s">
        <v>168</v>
      </c>
      <c r="H13" s="16">
        <v>45670</v>
      </c>
      <c r="I13" s="16">
        <v>45671</v>
      </c>
      <c r="J13" s="15">
        <v>6</v>
      </c>
    </row>
    <row r="14" spans="1:11" customFormat="1">
      <c r="A14" t="s">
        <v>167</v>
      </c>
      <c r="B14" s="28" t="s">
        <v>9</v>
      </c>
      <c r="C14" s="25" t="s">
        <v>251</v>
      </c>
      <c r="D14" s="25" t="s">
        <v>259</v>
      </c>
      <c r="E14" s="29" t="s">
        <v>258</v>
      </c>
      <c r="F14" s="30" t="s">
        <v>262</v>
      </c>
      <c r="G14" s="23" t="s">
        <v>168</v>
      </c>
      <c r="H14" s="16">
        <v>45681</v>
      </c>
      <c r="I14" s="16">
        <v>45681</v>
      </c>
      <c r="J14" s="15">
        <v>4</v>
      </c>
    </row>
    <row r="15" spans="1:11" customFormat="1">
      <c r="A15" t="s">
        <v>167</v>
      </c>
      <c r="B15" s="28" t="s">
        <v>12</v>
      </c>
      <c r="C15" s="25" t="s">
        <v>251</v>
      </c>
      <c r="D15" s="25" t="s">
        <v>259</v>
      </c>
      <c r="E15" s="29" t="s">
        <v>261</v>
      </c>
      <c r="F15" s="28" t="s">
        <v>260</v>
      </c>
      <c r="G15" s="23" t="s">
        <v>168</v>
      </c>
      <c r="H15" s="16">
        <v>45684</v>
      </c>
      <c r="I15" s="16">
        <v>45684</v>
      </c>
      <c r="J15" s="15">
        <v>5</v>
      </c>
    </row>
    <row r="16" spans="1:11" customFormat="1">
      <c r="A16" t="s">
        <v>167</v>
      </c>
      <c r="B16" s="28" t="s">
        <v>9</v>
      </c>
      <c r="C16" s="25" t="s">
        <v>251</v>
      </c>
      <c r="D16" s="25" t="s">
        <v>259</v>
      </c>
      <c r="E16" s="29" t="s">
        <v>258</v>
      </c>
      <c r="F16" s="28" t="s">
        <v>257</v>
      </c>
      <c r="G16" s="23" t="s">
        <v>168</v>
      </c>
      <c r="H16" s="16">
        <v>45685</v>
      </c>
      <c r="I16" s="16">
        <v>45685</v>
      </c>
      <c r="J16" s="15">
        <v>5</v>
      </c>
    </row>
    <row r="17" spans="1:10" customFormat="1">
      <c r="A17" s="26">
        <v>7434273</v>
      </c>
      <c r="B17" s="22" t="s">
        <v>252</v>
      </c>
      <c r="C17" s="25" t="s">
        <v>251</v>
      </c>
      <c r="D17" s="25" t="s">
        <v>250</v>
      </c>
      <c r="E17" s="22" t="s">
        <v>256</v>
      </c>
      <c r="F17" s="22" t="s">
        <v>255</v>
      </c>
      <c r="G17" s="23" t="s">
        <v>178</v>
      </c>
      <c r="H17" s="16">
        <v>45674</v>
      </c>
      <c r="I17" s="16">
        <v>45688</v>
      </c>
      <c r="J17" s="15">
        <v>5</v>
      </c>
    </row>
    <row r="18" spans="1:10" customFormat="1">
      <c r="A18" s="26">
        <v>7477617</v>
      </c>
      <c r="B18" s="22" t="s">
        <v>254</v>
      </c>
      <c r="C18" s="25" t="s">
        <v>1</v>
      </c>
      <c r="D18" s="25" t="s">
        <v>250</v>
      </c>
      <c r="E18" s="22" t="s">
        <v>249</v>
      </c>
      <c r="F18" s="22" t="s">
        <v>253</v>
      </c>
      <c r="G18" s="23" t="s">
        <v>162</v>
      </c>
      <c r="H18" s="27">
        <v>45658</v>
      </c>
      <c r="I18" s="27">
        <v>45658</v>
      </c>
      <c r="J18" s="22">
        <f t="shared" ref="J18:J32" si="1">I18-H18</f>
        <v>0</v>
      </c>
    </row>
    <row r="19" spans="1:10" customFormat="1">
      <c r="A19" s="26">
        <v>7484133</v>
      </c>
      <c r="B19" s="22" t="s">
        <v>252</v>
      </c>
      <c r="C19" s="25" t="s">
        <v>251</v>
      </c>
      <c r="D19" s="25" t="s">
        <v>250</v>
      </c>
      <c r="E19" s="24" t="s">
        <v>249</v>
      </c>
      <c r="F19" s="22" t="s">
        <v>248</v>
      </c>
      <c r="G19" s="23" t="s">
        <v>162</v>
      </c>
      <c r="H19" s="16">
        <v>45688</v>
      </c>
      <c r="I19" s="16">
        <v>45690</v>
      </c>
      <c r="J19" s="22">
        <f t="shared" si="1"/>
        <v>2</v>
      </c>
    </row>
    <row r="20" spans="1:10">
      <c r="A20" s="11" t="s">
        <v>230</v>
      </c>
      <c r="B20" s="11" t="s">
        <v>247</v>
      </c>
      <c r="C20" s="11" t="s">
        <v>238</v>
      </c>
      <c r="D20" s="11" t="s">
        <v>173</v>
      </c>
      <c r="E20" s="11" t="s">
        <v>228</v>
      </c>
      <c r="F20" s="11" t="s">
        <v>246</v>
      </c>
      <c r="G20" s="11" t="s">
        <v>245</v>
      </c>
      <c r="H20" s="13">
        <v>45685</v>
      </c>
      <c r="I20" s="13">
        <v>45685</v>
      </c>
      <c r="J20" s="14">
        <f t="shared" si="1"/>
        <v>0</v>
      </c>
    </row>
    <row r="21" spans="1:10">
      <c r="A21" s="11" t="s">
        <v>230</v>
      </c>
      <c r="B21" s="11" t="s">
        <v>175</v>
      </c>
      <c r="C21" s="11" t="s">
        <v>238</v>
      </c>
      <c r="D21" s="11" t="s">
        <v>173</v>
      </c>
      <c r="E21" s="11" t="s">
        <v>244</v>
      </c>
      <c r="F21" s="11" t="s">
        <v>243</v>
      </c>
      <c r="G21" s="11" t="s">
        <v>178</v>
      </c>
      <c r="H21" s="13">
        <v>45662</v>
      </c>
      <c r="I21" s="13">
        <v>45662</v>
      </c>
      <c r="J21" s="14">
        <f t="shared" si="1"/>
        <v>0</v>
      </c>
    </row>
    <row r="22" spans="1:10">
      <c r="A22" s="11" t="s">
        <v>230</v>
      </c>
      <c r="B22" s="11" t="s">
        <v>175</v>
      </c>
      <c r="C22" s="11" t="s">
        <v>229</v>
      </c>
      <c r="D22" s="11" t="s">
        <v>173</v>
      </c>
      <c r="E22" s="11" t="s">
        <v>228</v>
      </c>
      <c r="F22" s="11" t="s">
        <v>242</v>
      </c>
      <c r="G22" s="11" t="s">
        <v>178</v>
      </c>
      <c r="H22" s="13">
        <v>45666</v>
      </c>
      <c r="I22" s="13">
        <v>45666</v>
      </c>
      <c r="J22" s="14">
        <f t="shared" si="1"/>
        <v>0</v>
      </c>
    </row>
    <row r="23" spans="1:10">
      <c r="A23" s="11" t="s">
        <v>230</v>
      </c>
      <c r="B23" s="11" t="s">
        <v>175</v>
      </c>
      <c r="C23" s="11" t="s">
        <v>229</v>
      </c>
      <c r="D23" s="11" t="s">
        <v>173</v>
      </c>
      <c r="E23" s="11" t="s">
        <v>228</v>
      </c>
      <c r="F23" s="11" t="s">
        <v>241</v>
      </c>
      <c r="G23" s="11" t="s">
        <v>178</v>
      </c>
      <c r="H23" s="13">
        <v>45666</v>
      </c>
      <c r="I23" s="13">
        <v>45666</v>
      </c>
      <c r="J23" s="14">
        <f t="shared" si="1"/>
        <v>0</v>
      </c>
    </row>
    <row r="24" spans="1:10">
      <c r="A24" s="11" t="s">
        <v>230</v>
      </c>
      <c r="B24" s="11" t="s">
        <v>175</v>
      </c>
      <c r="C24" s="11" t="s">
        <v>229</v>
      </c>
      <c r="D24" s="11" t="s">
        <v>173</v>
      </c>
      <c r="E24" s="11" t="s">
        <v>228</v>
      </c>
      <c r="F24" s="11" t="s">
        <v>240</v>
      </c>
      <c r="G24" s="11" t="s">
        <v>178</v>
      </c>
      <c r="H24" s="13">
        <v>45666</v>
      </c>
      <c r="I24" s="13">
        <v>45666</v>
      </c>
      <c r="J24" s="14">
        <f t="shared" si="1"/>
        <v>0</v>
      </c>
    </row>
    <row r="25" spans="1:10">
      <c r="A25" s="11" t="s">
        <v>230</v>
      </c>
      <c r="B25" s="11" t="s">
        <v>175</v>
      </c>
      <c r="C25" s="11" t="s">
        <v>229</v>
      </c>
      <c r="D25" s="11" t="s">
        <v>173</v>
      </c>
      <c r="E25" s="11" t="s">
        <v>228</v>
      </c>
      <c r="F25" s="11" t="s">
        <v>239</v>
      </c>
      <c r="G25" s="11" t="s">
        <v>178</v>
      </c>
      <c r="H25" s="13">
        <v>45666</v>
      </c>
      <c r="I25" s="13">
        <v>45666</v>
      </c>
      <c r="J25" s="14">
        <f t="shared" si="1"/>
        <v>0</v>
      </c>
    </row>
    <row r="26" spans="1:10">
      <c r="A26" s="11" t="s">
        <v>176</v>
      </c>
      <c r="B26" s="11" t="s">
        <v>175</v>
      </c>
      <c r="C26" s="11" t="s">
        <v>238</v>
      </c>
      <c r="D26" s="11" t="s">
        <v>173</v>
      </c>
      <c r="E26" s="11" t="s">
        <v>228</v>
      </c>
      <c r="F26" s="11" t="s">
        <v>237</v>
      </c>
      <c r="G26" s="11" t="s">
        <v>178</v>
      </c>
      <c r="H26" s="13">
        <v>45666</v>
      </c>
      <c r="I26" s="13">
        <v>45666</v>
      </c>
      <c r="J26" s="14">
        <f t="shared" si="1"/>
        <v>0</v>
      </c>
    </row>
    <row r="27" spans="1:10">
      <c r="A27" s="11" t="s">
        <v>230</v>
      </c>
      <c r="B27" s="11" t="s">
        <v>175</v>
      </c>
      <c r="C27" s="11" t="s">
        <v>229</v>
      </c>
      <c r="D27" s="11" t="s">
        <v>173</v>
      </c>
      <c r="E27" s="11" t="s">
        <v>228</v>
      </c>
      <c r="F27" s="11" t="s">
        <v>236</v>
      </c>
      <c r="G27" s="11" t="s">
        <v>178</v>
      </c>
      <c r="H27" s="13">
        <v>45666</v>
      </c>
      <c r="I27" s="13">
        <v>45666</v>
      </c>
      <c r="J27" s="14">
        <f t="shared" si="1"/>
        <v>0</v>
      </c>
    </row>
    <row r="28" spans="1:10">
      <c r="A28" s="11" t="s">
        <v>230</v>
      </c>
      <c r="B28" s="11" t="s">
        <v>175</v>
      </c>
      <c r="C28" s="11" t="s">
        <v>229</v>
      </c>
      <c r="D28" s="11" t="s">
        <v>173</v>
      </c>
      <c r="E28" s="11" t="s">
        <v>228</v>
      </c>
      <c r="F28" s="11" t="s">
        <v>235</v>
      </c>
      <c r="G28" s="11" t="s">
        <v>234</v>
      </c>
      <c r="H28" s="13">
        <v>45673</v>
      </c>
      <c r="I28" s="13">
        <v>45673</v>
      </c>
      <c r="J28" s="14">
        <f t="shared" si="1"/>
        <v>0</v>
      </c>
    </row>
    <row r="29" spans="1:10">
      <c r="A29" s="11" t="s">
        <v>176</v>
      </c>
      <c r="B29" s="11" t="s">
        <v>175</v>
      </c>
      <c r="C29" s="11" t="s">
        <v>229</v>
      </c>
      <c r="D29" s="11" t="s">
        <v>173</v>
      </c>
      <c r="E29" s="11" t="s">
        <v>228</v>
      </c>
      <c r="F29" s="11" t="s">
        <v>233</v>
      </c>
      <c r="G29" s="11" t="s">
        <v>178</v>
      </c>
      <c r="H29" s="13">
        <v>45678</v>
      </c>
      <c r="I29" s="21">
        <v>45678</v>
      </c>
      <c r="J29" s="14">
        <f t="shared" si="1"/>
        <v>0</v>
      </c>
    </row>
    <row r="30" spans="1:10">
      <c r="A30" s="11" t="s">
        <v>230</v>
      </c>
      <c r="B30" s="11" t="s">
        <v>175</v>
      </c>
      <c r="C30" s="11" t="s">
        <v>229</v>
      </c>
      <c r="D30" s="11" t="s">
        <v>173</v>
      </c>
      <c r="E30" s="11" t="s">
        <v>228</v>
      </c>
      <c r="F30" s="11" t="s">
        <v>232</v>
      </c>
      <c r="G30" s="11" t="s">
        <v>178</v>
      </c>
      <c r="H30" s="13">
        <v>45687</v>
      </c>
      <c r="I30" s="13">
        <v>45687</v>
      </c>
      <c r="J30" s="14">
        <f t="shared" si="1"/>
        <v>0</v>
      </c>
    </row>
    <row r="31" spans="1:10">
      <c r="A31" s="11" t="s">
        <v>230</v>
      </c>
      <c r="B31" s="11" t="s">
        <v>175</v>
      </c>
      <c r="C31" s="11" t="s">
        <v>229</v>
      </c>
      <c r="D31" s="11" t="s">
        <v>173</v>
      </c>
      <c r="E31" s="11" t="s">
        <v>228</v>
      </c>
      <c r="F31" s="11" t="s">
        <v>231</v>
      </c>
      <c r="G31" s="11" t="s">
        <v>178</v>
      </c>
      <c r="H31" s="13">
        <v>45688</v>
      </c>
      <c r="I31" s="13">
        <v>45688</v>
      </c>
      <c r="J31" s="14">
        <f t="shared" si="1"/>
        <v>0</v>
      </c>
    </row>
    <row r="32" spans="1:10">
      <c r="A32" s="11" t="s">
        <v>230</v>
      </c>
      <c r="B32" s="11" t="s">
        <v>175</v>
      </c>
      <c r="C32" s="11" t="s">
        <v>229</v>
      </c>
      <c r="D32" s="11" t="s">
        <v>173</v>
      </c>
      <c r="E32" s="11" t="s">
        <v>228</v>
      </c>
      <c r="F32" s="11" t="s">
        <v>227</v>
      </c>
      <c r="G32" s="20" t="s">
        <v>162</v>
      </c>
      <c r="H32" s="13">
        <v>45688</v>
      </c>
      <c r="I32" s="13">
        <v>45688</v>
      </c>
      <c r="J32" s="14">
        <f t="shared" si="1"/>
        <v>0</v>
      </c>
    </row>
    <row r="33" spans="8:10">
      <c r="H33" s="11"/>
      <c r="I33" s="11"/>
      <c r="J33" s="11"/>
    </row>
    <row r="34" spans="8:10">
      <c r="H34" s="11"/>
      <c r="I34" s="11"/>
      <c r="J34" s="11"/>
    </row>
    <row r="35" spans="8:10">
      <c r="H35" s="11"/>
      <c r="I35" s="11"/>
      <c r="J35" s="11"/>
    </row>
    <row r="36" spans="8:10" ht="21" customHeight="1">
      <c r="H36" s="11"/>
      <c r="I36" s="11"/>
      <c r="J36" s="11"/>
    </row>
    <row r="37" spans="8:10">
      <c r="H37" s="11"/>
      <c r="I37" s="11"/>
      <c r="J37" s="11"/>
    </row>
    <row r="42" spans="8:10">
      <c r="H42" s="11"/>
      <c r="I42" s="11"/>
      <c r="J42" s="11"/>
    </row>
    <row r="43" spans="8:10">
      <c r="H43" s="11"/>
      <c r="I43" s="11"/>
      <c r="J43" s="11"/>
    </row>
    <row r="44" spans="8:10">
      <c r="H44" s="11"/>
      <c r="I44" s="11"/>
      <c r="J44" s="11"/>
    </row>
    <row r="60" spans="8:10">
      <c r="H60" s="11"/>
      <c r="I60" s="11"/>
      <c r="J60" s="11"/>
    </row>
    <row r="70" spans="8:10">
      <c r="H70" s="11"/>
      <c r="I70" s="11"/>
      <c r="J70" s="11"/>
    </row>
    <row r="71" spans="8:10">
      <c r="H71" s="11"/>
      <c r="I71" s="11"/>
      <c r="J71" s="11"/>
    </row>
    <row r="72" spans="8:10">
      <c r="H72" s="11"/>
      <c r="I72" s="11"/>
      <c r="J72" s="11"/>
    </row>
    <row r="73" spans="8:10">
      <c r="H73" s="11"/>
      <c r="I73" s="11"/>
      <c r="J73" s="11"/>
    </row>
    <row r="74" spans="8:10">
      <c r="H74" s="11"/>
      <c r="I74" s="11"/>
      <c r="J74" s="11"/>
    </row>
    <row r="75" spans="8:10">
      <c r="H75" s="11"/>
      <c r="I75" s="11"/>
      <c r="J75" s="11"/>
    </row>
    <row r="76" spans="8:10">
      <c r="H76" s="11"/>
      <c r="I76" s="11"/>
      <c r="J76" s="11"/>
    </row>
    <row r="77" spans="8:10">
      <c r="H77" s="11"/>
      <c r="I77" s="11"/>
      <c r="J77" s="11"/>
    </row>
    <row r="78" spans="8:10">
      <c r="H78" s="11"/>
      <c r="I78" s="11"/>
      <c r="J78" s="11"/>
    </row>
    <row r="79" spans="8:10">
      <c r="H79" s="11"/>
      <c r="I79" s="11"/>
      <c r="J79" s="11"/>
    </row>
    <row r="80" spans="8:10">
      <c r="H80" s="11"/>
      <c r="I80" s="11"/>
      <c r="J80" s="11"/>
    </row>
    <row r="81" spans="8:10">
      <c r="H81" s="11"/>
      <c r="I81" s="11"/>
      <c r="J81" s="11"/>
    </row>
    <row r="82" spans="8:10">
      <c r="H82" s="11"/>
      <c r="I82" s="11"/>
      <c r="J82" s="11"/>
    </row>
    <row r="86" spans="8:10">
      <c r="H86" s="11"/>
      <c r="I86" s="11"/>
      <c r="J86" s="11"/>
    </row>
    <row r="92" spans="8:10">
      <c r="H92" s="11"/>
      <c r="I92" s="11"/>
      <c r="J92" s="11"/>
    </row>
    <row r="93" spans="8:10">
      <c r="H93" s="11"/>
      <c r="I93" s="11"/>
      <c r="J93" s="11"/>
    </row>
    <row r="94" spans="8:10">
      <c r="H94" s="11"/>
      <c r="I94" s="11"/>
      <c r="J94" s="11"/>
    </row>
    <row r="95" spans="8:10">
      <c r="H95" s="11"/>
      <c r="I95" s="11"/>
      <c r="J95" s="11"/>
    </row>
    <row r="96" spans="8:10" ht="23.25" customHeight="1">
      <c r="H96" s="11"/>
      <c r="I96" s="11"/>
      <c r="J96" s="11"/>
    </row>
    <row r="98" spans="1:10">
      <c r="H98" s="11"/>
      <c r="I98" s="11"/>
      <c r="J98" s="11"/>
    </row>
    <row r="103" spans="1:10">
      <c r="H103" s="11"/>
      <c r="I103" s="11"/>
      <c r="J103" s="11"/>
    </row>
    <row r="104" spans="1:10">
      <c r="H104" s="11"/>
      <c r="I104" s="11"/>
      <c r="J104" s="11"/>
    </row>
    <row r="105" spans="1:10">
      <c r="H105" s="11"/>
      <c r="I105" s="11"/>
      <c r="J105" s="11"/>
    </row>
    <row r="106" spans="1:10">
      <c r="H106" s="11"/>
      <c r="I106" s="11"/>
      <c r="J106" s="11"/>
    </row>
    <row r="107" spans="1:10" customFormat="1">
      <c r="A107" t="s">
        <v>176</v>
      </c>
      <c r="B107" t="s">
        <v>175</v>
      </c>
      <c r="D107" t="s">
        <v>173</v>
      </c>
      <c r="E107" t="s">
        <v>214</v>
      </c>
      <c r="F107" t="s">
        <v>226</v>
      </c>
      <c r="G107" t="s">
        <v>178</v>
      </c>
      <c r="H107" s="16">
        <v>45713</v>
      </c>
      <c r="I107" s="16">
        <v>45713</v>
      </c>
      <c r="J107" s="15"/>
    </row>
    <row r="108" spans="1:10" customFormat="1">
      <c r="A108" t="s">
        <v>176</v>
      </c>
      <c r="B108" t="s">
        <v>175</v>
      </c>
      <c r="C108" t="s">
        <v>215</v>
      </c>
      <c r="D108" t="s">
        <v>173</v>
      </c>
      <c r="E108" t="s">
        <v>214</v>
      </c>
      <c r="F108" t="s">
        <v>225</v>
      </c>
      <c r="G108" t="s">
        <v>178</v>
      </c>
      <c r="H108" s="16">
        <v>45713</v>
      </c>
      <c r="I108" s="16">
        <v>45713</v>
      </c>
      <c r="J108" s="15"/>
    </row>
    <row r="109" spans="1:10" customFormat="1">
      <c r="A109" t="s">
        <v>176</v>
      </c>
      <c r="B109" t="s">
        <v>175</v>
      </c>
      <c r="C109" t="s">
        <v>215</v>
      </c>
      <c r="D109" t="s">
        <v>173</v>
      </c>
      <c r="E109" t="s">
        <v>214</v>
      </c>
      <c r="F109" t="s">
        <v>224</v>
      </c>
      <c r="G109" t="s">
        <v>178</v>
      </c>
      <c r="H109" s="16">
        <v>45713</v>
      </c>
      <c r="I109" s="16">
        <v>45713</v>
      </c>
      <c r="J109" s="15"/>
    </row>
    <row r="110" spans="1:10" customFormat="1">
      <c r="A110" t="s">
        <v>176</v>
      </c>
      <c r="B110" t="s">
        <v>175</v>
      </c>
      <c r="C110" t="s">
        <v>215</v>
      </c>
      <c r="D110" t="s">
        <v>173</v>
      </c>
      <c r="E110" t="s">
        <v>214</v>
      </c>
      <c r="F110" t="s">
        <v>223</v>
      </c>
      <c r="G110" t="s">
        <v>178</v>
      </c>
      <c r="H110" s="16">
        <v>45713</v>
      </c>
      <c r="I110" s="16">
        <v>45713</v>
      </c>
      <c r="J110" s="15"/>
    </row>
    <row r="111" spans="1:10" customFormat="1">
      <c r="A111" t="s">
        <v>176</v>
      </c>
      <c r="B111" t="s">
        <v>175</v>
      </c>
      <c r="C111" t="s">
        <v>215</v>
      </c>
      <c r="D111" t="s">
        <v>173</v>
      </c>
      <c r="E111" t="s">
        <v>214</v>
      </c>
      <c r="F111" t="s">
        <v>222</v>
      </c>
      <c r="G111" t="s">
        <v>178</v>
      </c>
      <c r="H111" s="16">
        <v>45713</v>
      </c>
      <c r="I111" s="16">
        <v>45713</v>
      </c>
      <c r="J111" s="15"/>
    </row>
    <row r="112" spans="1:10" customFormat="1">
      <c r="A112" t="s">
        <v>176</v>
      </c>
      <c r="B112" t="s">
        <v>175</v>
      </c>
      <c r="C112" t="s">
        <v>215</v>
      </c>
      <c r="D112" t="s">
        <v>173</v>
      </c>
      <c r="E112" t="s">
        <v>214</v>
      </c>
      <c r="F112" t="s">
        <v>221</v>
      </c>
      <c r="G112" t="s">
        <v>178</v>
      </c>
      <c r="H112" s="16">
        <v>45751</v>
      </c>
      <c r="I112" s="16">
        <v>45751</v>
      </c>
      <c r="J112" s="15"/>
    </row>
    <row r="113" spans="1:11" customFormat="1">
      <c r="A113" t="s">
        <v>176</v>
      </c>
      <c r="B113" t="s">
        <v>175</v>
      </c>
      <c r="C113" t="s">
        <v>215</v>
      </c>
      <c r="D113" t="s">
        <v>173</v>
      </c>
      <c r="E113" t="s">
        <v>214</v>
      </c>
      <c r="F113" t="s">
        <v>169</v>
      </c>
      <c r="G113" t="s">
        <v>178</v>
      </c>
      <c r="H113" s="16">
        <v>45751</v>
      </c>
      <c r="I113" s="16">
        <v>45751</v>
      </c>
      <c r="J113" s="15"/>
    </row>
    <row r="114" spans="1:11" customFormat="1">
      <c r="A114" t="s">
        <v>176</v>
      </c>
      <c r="B114" t="s">
        <v>175</v>
      </c>
      <c r="C114" t="s">
        <v>215</v>
      </c>
      <c r="D114" t="s">
        <v>173</v>
      </c>
      <c r="E114" t="s">
        <v>214</v>
      </c>
      <c r="F114" t="s">
        <v>220</v>
      </c>
      <c r="G114" t="s">
        <v>178</v>
      </c>
      <c r="H114" s="16">
        <v>45818</v>
      </c>
      <c r="I114" s="16">
        <v>45818</v>
      </c>
      <c r="J114" s="15"/>
    </row>
    <row r="115" spans="1:11" customFormat="1">
      <c r="A115" t="s">
        <v>176</v>
      </c>
      <c r="B115" t="s">
        <v>175</v>
      </c>
      <c r="C115" t="s">
        <v>215</v>
      </c>
      <c r="D115" t="s">
        <v>173</v>
      </c>
      <c r="E115" t="s">
        <v>214</v>
      </c>
      <c r="F115" t="s">
        <v>219</v>
      </c>
      <c r="G115" t="s">
        <v>178</v>
      </c>
      <c r="H115" s="16">
        <v>45814</v>
      </c>
      <c r="I115" s="16">
        <v>45814</v>
      </c>
      <c r="J115" s="15"/>
    </row>
    <row r="116" spans="1:11" customFormat="1">
      <c r="A116" t="s">
        <v>176</v>
      </c>
      <c r="B116" t="s">
        <v>175</v>
      </c>
      <c r="C116" t="s">
        <v>215</v>
      </c>
      <c r="D116" t="s">
        <v>173</v>
      </c>
      <c r="E116" t="s">
        <v>214</v>
      </c>
      <c r="F116" t="s">
        <v>218</v>
      </c>
      <c r="G116" t="s">
        <v>178</v>
      </c>
      <c r="H116" s="16">
        <v>45814</v>
      </c>
      <c r="I116" s="16">
        <v>45814</v>
      </c>
      <c r="J116" s="15"/>
    </row>
    <row r="117" spans="1:11" customFormat="1">
      <c r="A117" t="s">
        <v>176</v>
      </c>
      <c r="B117" t="s">
        <v>175</v>
      </c>
      <c r="C117" t="s">
        <v>215</v>
      </c>
      <c r="D117" t="s">
        <v>173</v>
      </c>
      <c r="E117" t="s">
        <v>214</v>
      </c>
      <c r="F117" t="s">
        <v>217</v>
      </c>
      <c r="G117" t="s">
        <v>162</v>
      </c>
      <c r="H117" s="16">
        <v>45814</v>
      </c>
      <c r="I117" s="16">
        <v>45814</v>
      </c>
      <c r="J117" s="15"/>
    </row>
    <row r="118" spans="1:11" customFormat="1">
      <c r="A118">
        <v>7585118</v>
      </c>
      <c r="B118" t="s">
        <v>175</v>
      </c>
      <c r="C118" t="s">
        <v>215</v>
      </c>
      <c r="D118" t="s">
        <v>173</v>
      </c>
      <c r="E118" t="s">
        <v>214</v>
      </c>
      <c r="F118" s="17" t="s">
        <v>216</v>
      </c>
      <c r="G118" t="s">
        <v>168</v>
      </c>
      <c r="H118" s="16">
        <v>45716</v>
      </c>
      <c r="I118" s="16">
        <v>45716</v>
      </c>
      <c r="J118" s="15"/>
    </row>
    <row r="119" spans="1:11" customFormat="1">
      <c r="A119" t="s">
        <v>176</v>
      </c>
      <c r="B119" t="s">
        <v>175</v>
      </c>
      <c r="C119" t="s">
        <v>215</v>
      </c>
      <c r="D119" t="s">
        <v>173</v>
      </c>
      <c r="E119" t="s">
        <v>214</v>
      </c>
      <c r="F119" t="s">
        <v>194</v>
      </c>
      <c r="G119" t="s">
        <v>162</v>
      </c>
      <c r="H119" s="16">
        <v>45813</v>
      </c>
      <c r="I119" s="16">
        <v>45813</v>
      </c>
      <c r="J119" s="15" t="s">
        <v>213</v>
      </c>
    </row>
    <row r="120" spans="1:11" customFormat="1">
      <c r="A120" t="s">
        <v>176</v>
      </c>
      <c r="B120" t="s">
        <v>175</v>
      </c>
      <c r="C120" t="s">
        <v>199</v>
      </c>
      <c r="D120" t="s">
        <v>173</v>
      </c>
      <c r="E120" t="s">
        <v>198</v>
      </c>
      <c r="F120" t="s">
        <v>212</v>
      </c>
      <c r="G120" t="s">
        <v>168</v>
      </c>
      <c r="H120" s="16">
        <v>45680</v>
      </c>
      <c r="I120" s="16">
        <v>45792</v>
      </c>
      <c r="J120" s="15"/>
      <c r="K120" t="s">
        <v>211</v>
      </c>
    </row>
    <row r="121" spans="1:11" customFormat="1">
      <c r="A121" t="s">
        <v>176</v>
      </c>
      <c r="B121" t="s">
        <v>175</v>
      </c>
      <c r="C121" t="s">
        <v>199</v>
      </c>
      <c r="D121" t="s">
        <v>173</v>
      </c>
      <c r="E121" t="s">
        <v>198</v>
      </c>
      <c r="F121" s="17" t="s">
        <v>210</v>
      </c>
      <c r="G121" t="s">
        <v>168</v>
      </c>
      <c r="H121" s="16">
        <v>45680</v>
      </c>
      <c r="I121" s="16">
        <v>45792</v>
      </c>
      <c r="J121" s="15"/>
      <c r="K121" t="s">
        <v>209</v>
      </c>
    </row>
    <row r="122" spans="1:11" customFormat="1">
      <c r="A122" t="s">
        <v>176</v>
      </c>
      <c r="B122" t="s">
        <v>175</v>
      </c>
      <c r="C122" t="s">
        <v>199</v>
      </c>
      <c r="D122" t="s">
        <v>173</v>
      </c>
      <c r="E122" t="s">
        <v>198</v>
      </c>
      <c r="F122" s="18" t="s">
        <v>208</v>
      </c>
      <c r="G122" t="s">
        <v>162</v>
      </c>
      <c r="H122" s="16">
        <v>45740</v>
      </c>
      <c r="I122" s="16">
        <v>45740</v>
      </c>
      <c r="J122" s="15"/>
    </row>
    <row r="123" spans="1:11" customFormat="1">
      <c r="A123" t="s">
        <v>176</v>
      </c>
      <c r="B123" t="s">
        <v>175</v>
      </c>
      <c r="C123" t="s">
        <v>199</v>
      </c>
      <c r="D123" t="s">
        <v>173</v>
      </c>
      <c r="E123" t="s">
        <v>198</v>
      </c>
      <c r="F123" s="18" t="s">
        <v>207</v>
      </c>
      <c r="G123" t="s">
        <v>168</v>
      </c>
      <c r="H123" s="16">
        <v>45740</v>
      </c>
      <c r="I123" s="16">
        <v>45740</v>
      </c>
      <c r="J123" s="15"/>
      <c r="K123" t="s">
        <v>206</v>
      </c>
    </row>
    <row r="124" spans="1:11" customFormat="1">
      <c r="A124" t="s">
        <v>176</v>
      </c>
      <c r="B124" t="s">
        <v>175</v>
      </c>
      <c r="C124" t="s">
        <v>199</v>
      </c>
      <c r="D124" t="s">
        <v>173</v>
      </c>
      <c r="E124" t="s">
        <v>198</v>
      </c>
      <c r="F124" t="s">
        <v>205</v>
      </c>
      <c r="G124" t="s">
        <v>168</v>
      </c>
      <c r="H124" s="16">
        <v>45740</v>
      </c>
      <c r="I124" s="16">
        <v>45740</v>
      </c>
      <c r="J124" s="15"/>
      <c r="K124" s="19" t="s">
        <v>202</v>
      </c>
    </row>
    <row r="125" spans="1:11" customFormat="1">
      <c r="A125" t="s">
        <v>176</v>
      </c>
      <c r="B125" t="s">
        <v>175</v>
      </c>
      <c r="C125" t="s">
        <v>199</v>
      </c>
      <c r="D125" t="s">
        <v>173</v>
      </c>
      <c r="E125" t="s">
        <v>198</v>
      </c>
      <c r="F125" t="s">
        <v>204</v>
      </c>
      <c r="G125" t="s">
        <v>168</v>
      </c>
      <c r="H125" s="16">
        <v>45740</v>
      </c>
      <c r="I125" s="16">
        <v>45740</v>
      </c>
      <c r="J125" s="15"/>
      <c r="K125" s="19" t="s">
        <v>202</v>
      </c>
    </row>
    <row r="126" spans="1:11" customFormat="1">
      <c r="A126" t="s">
        <v>176</v>
      </c>
      <c r="B126" t="s">
        <v>175</v>
      </c>
      <c r="C126" t="s">
        <v>199</v>
      </c>
      <c r="D126" t="s">
        <v>173</v>
      </c>
      <c r="E126" t="s">
        <v>198</v>
      </c>
      <c r="F126" t="s">
        <v>203</v>
      </c>
      <c r="G126" t="s">
        <v>168</v>
      </c>
      <c r="H126" s="16">
        <v>45740</v>
      </c>
      <c r="I126" s="16">
        <v>45740</v>
      </c>
      <c r="J126" s="15"/>
      <c r="K126" s="19" t="s">
        <v>202</v>
      </c>
    </row>
    <row r="127" spans="1:11" customFormat="1">
      <c r="A127" t="s">
        <v>176</v>
      </c>
      <c r="B127" t="s">
        <v>175</v>
      </c>
      <c r="C127" t="s">
        <v>199</v>
      </c>
      <c r="D127" t="s">
        <v>173</v>
      </c>
      <c r="E127" t="s">
        <v>198</v>
      </c>
      <c r="F127" s="18" t="s">
        <v>201</v>
      </c>
      <c r="G127" t="s">
        <v>168</v>
      </c>
      <c r="H127" s="16">
        <v>45742</v>
      </c>
      <c r="I127" s="16">
        <v>45742</v>
      </c>
      <c r="J127" s="15"/>
      <c r="K127" t="s">
        <v>200</v>
      </c>
    </row>
    <row r="128" spans="1:11" customFormat="1">
      <c r="A128" t="s">
        <v>176</v>
      </c>
      <c r="B128" t="s">
        <v>175</v>
      </c>
      <c r="C128" t="s">
        <v>199</v>
      </c>
      <c r="D128" t="s">
        <v>173</v>
      </c>
      <c r="E128" t="s">
        <v>198</v>
      </c>
      <c r="F128" t="s">
        <v>197</v>
      </c>
      <c r="G128" t="s">
        <v>162</v>
      </c>
      <c r="H128" s="16">
        <v>45784</v>
      </c>
      <c r="I128" s="16">
        <v>45784</v>
      </c>
      <c r="J128" s="15"/>
    </row>
    <row r="129" spans="1:11" customFormat="1">
      <c r="A129" t="s">
        <v>176</v>
      </c>
      <c r="B129" t="s">
        <v>175</v>
      </c>
      <c r="C129" t="s">
        <v>174</v>
      </c>
      <c r="D129" t="s">
        <v>173</v>
      </c>
      <c r="E129" t="s">
        <v>172</v>
      </c>
      <c r="F129" t="s">
        <v>196</v>
      </c>
      <c r="G129" t="s">
        <v>170</v>
      </c>
      <c r="H129" s="16">
        <v>45687</v>
      </c>
      <c r="I129" s="16">
        <v>45687</v>
      </c>
      <c r="J129" s="15"/>
    </row>
    <row r="130" spans="1:11" customFormat="1">
      <c r="A130" t="s">
        <v>176</v>
      </c>
      <c r="B130" t="s">
        <v>175</v>
      </c>
      <c r="C130" t="s">
        <v>174</v>
      </c>
      <c r="D130" t="s">
        <v>173</v>
      </c>
      <c r="E130" t="s">
        <v>172</v>
      </c>
      <c r="F130" t="s">
        <v>195</v>
      </c>
      <c r="G130" t="s">
        <v>178</v>
      </c>
      <c r="H130" s="16">
        <v>45701</v>
      </c>
      <c r="I130" s="16">
        <v>45701</v>
      </c>
      <c r="J130" s="15"/>
    </row>
    <row r="131" spans="1:11" customFormat="1">
      <c r="A131" t="s">
        <v>176</v>
      </c>
      <c r="B131" t="s">
        <v>175</v>
      </c>
      <c r="C131" t="s">
        <v>174</v>
      </c>
      <c r="D131" t="s">
        <v>173</v>
      </c>
      <c r="E131" t="s">
        <v>172</v>
      </c>
      <c r="F131" t="s">
        <v>194</v>
      </c>
      <c r="G131" t="s">
        <v>162</v>
      </c>
      <c r="H131" s="16">
        <v>45706</v>
      </c>
      <c r="I131" s="16">
        <v>45706</v>
      </c>
      <c r="J131" s="15"/>
    </row>
    <row r="132" spans="1:11" customFormat="1">
      <c r="A132" t="s">
        <v>176</v>
      </c>
      <c r="B132" t="s">
        <v>175</v>
      </c>
      <c r="C132" t="s">
        <v>174</v>
      </c>
      <c r="D132" t="s">
        <v>173</v>
      </c>
      <c r="E132" t="s">
        <v>172</v>
      </c>
      <c r="F132" t="s">
        <v>193</v>
      </c>
      <c r="G132" t="s">
        <v>178</v>
      </c>
      <c r="H132" s="16">
        <v>45707</v>
      </c>
      <c r="I132" s="16">
        <v>45707</v>
      </c>
      <c r="J132" s="15"/>
    </row>
    <row r="133" spans="1:11" customFormat="1">
      <c r="A133" t="s">
        <v>176</v>
      </c>
      <c r="B133" t="s">
        <v>175</v>
      </c>
      <c r="C133" t="s">
        <v>174</v>
      </c>
      <c r="D133" t="s">
        <v>173</v>
      </c>
      <c r="E133" t="s">
        <v>172</v>
      </c>
      <c r="F133" t="s">
        <v>192</v>
      </c>
      <c r="G133" t="s">
        <v>162</v>
      </c>
      <c r="H133" s="16">
        <v>45708</v>
      </c>
      <c r="I133" s="16">
        <v>45708</v>
      </c>
      <c r="J133" s="15"/>
    </row>
    <row r="134" spans="1:11" customFormat="1">
      <c r="A134" t="s">
        <v>176</v>
      </c>
      <c r="B134" t="s">
        <v>175</v>
      </c>
      <c r="C134" t="s">
        <v>174</v>
      </c>
      <c r="D134" t="s">
        <v>173</v>
      </c>
      <c r="E134" t="s">
        <v>172</v>
      </c>
      <c r="F134" t="s">
        <v>191</v>
      </c>
      <c r="G134" t="s">
        <v>190</v>
      </c>
      <c r="H134" s="16">
        <v>45751</v>
      </c>
      <c r="I134" s="16">
        <v>45751</v>
      </c>
      <c r="J134" s="15"/>
    </row>
    <row r="135" spans="1:11" customFormat="1">
      <c r="A135" t="s">
        <v>176</v>
      </c>
      <c r="B135" t="s">
        <v>175</v>
      </c>
      <c r="C135" t="s">
        <v>174</v>
      </c>
      <c r="D135" t="s">
        <v>173</v>
      </c>
      <c r="E135" t="s">
        <v>172</v>
      </c>
      <c r="F135" t="s">
        <v>189</v>
      </c>
      <c r="G135" t="s">
        <v>178</v>
      </c>
      <c r="H135" s="16">
        <v>45757</v>
      </c>
      <c r="I135" s="16">
        <v>45757</v>
      </c>
      <c r="J135" s="15"/>
      <c r="K135" t="s">
        <v>188</v>
      </c>
    </row>
    <row r="136" spans="1:11" customFormat="1">
      <c r="A136" t="s">
        <v>176</v>
      </c>
      <c r="B136" t="s">
        <v>175</v>
      </c>
      <c r="C136" t="s">
        <v>174</v>
      </c>
      <c r="D136" t="s">
        <v>173</v>
      </c>
      <c r="E136" t="s">
        <v>172</v>
      </c>
      <c r="F136" t="s">
        <v>187</v>
      </c>
      <c r="G136" t="s">
        <v>178</v>
      </c>
      <c r="H136" s="16">
        <v>45763</v>
      </c>
      <c r="I136" s="16">
        <v>45763</v>
      </c>
      <c r="J136" s="15"/>
    </row>
    <row r="137" spans="1:11" customFormat="1">
      <c r="A137" t="s">
        <v>176</v>
      </c>
      <c r="B137" t="s">
        <v>175</v>
      </c>
      <c r="C137" t="s">
        <v>174</v>
      </c>
      <c r="D137" t="s">
        <v>173</v>
      </c>
      <c r="E137" t="s">
        <v>172</v>
      </c>
      <c r="F137" t="s">
        <v>186</v>
      </c>
      <c r="G137" t="s">
        <v>168</v>
      </c>
      <c r="H137" s="16">
        <v>45770</v>
      </c>
      <c r="I137" s="16">
        <v>45777</v>
      </c>
      <c r="J137" s="15"/>
      <c r="K137" t="s">
        <v>185</v>
      </c>
    </row>
    <row r="138" spans="1:11" customFormat="1">
      <c r="A138" t="s">
        <v>176</v>
      </c>
      <c r="B138" t="s">
        <v>175</v>
      </c>
      <c r="C138" t="s">
        <v>174</v>
      </c>
      <c r="D138" t="s">
        <v>173</v>
      </c>
      <c r="E138" t="s">
        <v>172</v>
      </c>
      <c r="F138" t="s">
        <v>184</v>
      </c>
      <c r="G138" t="s">
        <v>168</v>
      </c>
      <c r="H138" s="16">
        <v>45775</v>
      </c>
      <c r="I138" s="16">
        <v>45787</v>
      </c>
      <c r="J138" s="15"/>
      <c r="K138" t="s">
        <v>183</v>
      </c>
    </row>
    <row r="139" spans="1:11" customFormat="1">
      <c r="A139" t="s">
        <v>176</v>
      </c>
      <c r="B139" t="s">
        <v>175</v>
      </c>
      <c r="C139" t="s">
        <v>174</v>
      </c>
      <c r="D139" t="s">
        <v>173</v>
      </c>
      <c r="E139" t="s">
        <v>172</v>
      </c>
      <c r="F139" t="s">
        <v>182</v>
      </c>
      <c r="G139" t="s">
        <v>162</v>
      </c>
      <c r="H139" s="16">
        <v>45789</v>
      </c>
      <c r="I139" s="16">
        <v>45789</v>
      </c>
      <c r="J139" s="15"/>
    </row>
    <row r="140" spans="1:11" customFormat="1">
      <c r="A140" t="s">
        <v>176</v>
      </c>
      <c r="B140" t="s">
        <v>175</v>
      </c>
      <c r="C140" t="s">
        <v>174</v>
      </c>
      <c r="D140" t="s">
        <v>173</v>
      </c>
      <c r="E140" t="s">
        <v>172</v>
      </c>
      <c r="F140" t="s">
        <v>181</v>
      </c>
      <c r="G140" t="s">
        <v>168</v>
      </c>
      <c r="H140" s="16">
        <v>45789</v>
      </c>
      <c r="I140" s="16">
        <v>45795</v>
      </c>
      <c r="J140" s="15"/>
      <c r="K140" t="s">
        <v>180</v>
      </c>
    </row>
    <row r="141" spans="1:11" customFormat="1">
      <c r="A141" t="s">
        <v>176</v>
      </c>
      <c r="B141" t="s">
        <v>175</v>
      </c>
      <c r="C141" t="s">
        <v>174</v>
      </c>
      <c r="D141" t="s">
        <v>173</v>
      </c>
      <c r="E141" t="s">
        <v>172</v>
      </c>
      <c r="F141" t="s">
        <v>24</v>
      </c>
      <c r="G141" t="s">
        <v>162</v>
      </c>
      <c r="H141" s="16">
        <v>45789</v>
      </c>
      <c r="I141" s="16">
        <v>45789</v>
      </c>
      <c r="J141" s="15"/>
    </row>
    <row r="142" spans="1:11" customFormat="1">
      <c r="A142" t="s">
        <v>176</v>
      </c>
      <c r="B142" t="s">
        <v>175</v>
      </c>
      <c r="C142" t="s">
        <v>174</v>
      </c>
      <c r="D142" t="s">
        <v>173</v>
      </c>
      <c r="E142" t="s">
        <v>172</v>
      </c>
      <c r="F142" t="s">
        <v>179</v>
      </c>
      <c r="G142" t="s">
        <v>178</v>
      </c>
      <c r="H142" s="16">
        <v>45789</v>
      </c>
      <c r="I142" s="16">
        <v>45789</v>
      </c>
      <c r="J142" s="15"/>
    </row>
    <row r="143" spans="1:11" customFormat="1">
      <c r="A143" t="s">
        <v>176</v>
      </c>
      <c r="B143" t="s">
        <v>175</v>
      </c>
      <c r="C143" t="s">
        <v>174</v>
      </c>
      <c r="D143" t="s">
        <v>173</v>
      </c>
      <c r="E143" t="s">
        <v>172</v>
      </c>
      <c r="F143" t="s">
        <v>177</v>
      </c>
      <c r="G143" t="s">
        <v>162</v>
      </c>
      <c r="H143" s="16">
        <v>45789</v>
      </c>
      <c r="I143" s="16">
        <v>45789</v>
      </c>
      <c r="J143" s="15"/>
    </row>
    <row r="144" spans="1:11" customFormat="1">
      <c r="A144" t="s">
        <v>176</v>
      </c>
      <c r="B144" t="s">
        <v>175</v>
      </c>
      <c r="C144" t="s">
        <v>174</v>
      </c>
      <c r="D144" t="s">
        <v>173</v>
      </c>
      <c r="E144" t="s">
        <v>172</v>
      </c>
      <c r="F144" s="17" t="s">
        <v>171</v>
      </c>
      <c r="G144" t="s">
        <v>170</v>
      </c>
      <c r="H144" s="16">
        <v>45660</v>
      </c>
      <c r="I144" s="16">
        <v>45661</v>
      </c>
      <c r="J144" s="15"/>
    </row>
    <row r="145" spans="1:10">
      <c r="A145" s="11" t="s">
        <v>167</v>
      </c>
      <c r="B145" s="11" t="s">
        <v>1</v>
      </c>
      <c r="C145" s="11" t="s">
        <v>166</v>
      </c>
      <c r="D145" s="11" t="s">
        <v>165</v>
      </c>
      <c r="E145" s="11" t="s">
        <v>164</v>
      </c>
      <c r="F145" s="11" t="s">
        <v>169</v>
      </c>
      <c r="G145" s="11" t="s">
        <v>168</v>
      </c>
      <c r="H145" s="13">
        <v>45670</v>
      </c>
      <c r="I145" s="13">
        <v>45670</v>
      </c>
      <c r="J145" s="14">
        <f>I145-H145</f>
        <v>0</v>
      </c>
    </row>
    <row r="146" spans="1:10">
      <c r="A146" s="11" t="s">
        <v>167</v>
      </c>
      <c r="B146" s="11" t="s">
        <v>1</v>
      </c>
      <c r="C146" s="11" t="s">
        <v>166</v>
      </c>
      <c r="D146" s="11" t="s">
        <v>165</v>
      </c>
      <c r="E146" s="11" t="s">
        <v>164</v>
      </c>
      <c r="F146" s="11" t="s">
        <v>163</v>
      </c>
      <c r="G146" s="11" t="s">
        <v>162</v>
      </c>
      <c r="H146" s="13">
        <v>45668</v>
      </c>
      <c r="I146" s="13">
        <v>45669</v>
      </c>
      <c r="J146" s="14">
        <f>I146-H146</f>
        <v>1</v>
      </c>
    </row>
    <row r="147" spans="1:10">
      <c r="H147" s="11"/>
      <c r="I147" s="11"/>
      <c r="J147" s="11"/>
    </row>
    <row r="148" spans="1:10">
      <c r="H148" s="11"/>
      <c r="I148" s="11"/>
      <c r="J148" s="11"/>
    </row>
    <row r="149" spans="1:10">
      <c r="H149" s="11"/>
      <c r="I149" s="11"/>
      <c r="J149" s="11"/>
    </row>
    <row r="150" spans="1:10">
      <c r="H150" s="11"/>
      <c r="I150" s="11"/>
      <c r="J150" s="11"/>
    </row>
    <row r="151" spans="1:10">
      <c r="H151" s="11"/>
      <c r="I151" s="11"/>
      <c r="J151" s="11"/>
    </row>
  </sheetData>
  <autoFilter ref="A1:K146" xr:uid="{F7F97AB8-1FF7-4ABF-8EA8-49E49BE76452}"/>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F015DCC-C2D0-45C6-A59C-64E8F42C1894}">
          <x14:formula1>
            <xm:f>'C:\Users\Daljeet\Downloads\[ABP_FY''26 Issues v2 (1).xlsx]List'!#REF!</xm:f>
          </x14:formula1>
          <xm:sqref>G1:G19 G32 G117:G146 G152:G1048576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D7107-CE60-4992-A849-385098FB3584}">
  <dimension ref="A1:K14"/>
  <sheetViews>
    <sheetView workbookViewId="0">
      <selection activeCell="C107" sqref="C107"/>
    </sheetView>
  </sheetViews>
  <sheetFormatPr defaultRowHeight="14.5"/>
  <cols>
    <col min="5" max="5" width="9.7265625" bestFit="1" customWidth="1"/>
    <col min="6" max="6" width="36.7265625" customWidth="1"/>
    <col min="7" max="7" width="22.7265625" customWidth="1"/>
    <col min="8" max="8" width="24.1796875" customWidth="1"/>
    <col min="9" max="9" width="13.7265625" customWidth="1"/>
    <col min="10" max="10" width="17.7265625" style="16" customWidth="1"/>
  </cols>
  <sheetData>
    <row r="1" spans="1:11" s="59" customFormat="1">
      <c r="A1" s="61" t="s">
        <v>292</v>
      </c>
      <c r="B1" s="61" t="s">
        <v>291</v>
      </c>
      <c r="C1" s="61" t="s">
        <v>290</v>
      </c>
      <c r="D1" s="61" t="s">
        <v>289</v>
      </c>
      <c r="E1" s="61" t="s">
        <v>288</v>
      </c>
      <c r="F1" s="61" t="s">
        <v>287</v>
      </c>
      <c r="G1" s="61" t="s">
        <v>286</v>
      </c>
      <c r="H1" s="60" t="s">
        <v>313</v>
      </c>
      <c r="I1" s="60" t="s">
        <v>284</v>
      </c>
      <c r="J1" s="60" t="s">
        <v>284</v>
      </c>
    </row>
    <row r="2" spans="1:11">
      <c r="A2" s="52">
        <v>7492643</v>
      </c>
      <c r="B2" s="52" t="s">
        <v>16</v>
      </c>
      <c r="C2" s="23" t="s">
        <v>251</v>
      </c>
      <c r="D2" s="23" t="s">
        <v>267</v>
      </c>
      <c r="E2" s="52" t="s">
        <v>312</v>
      </c>
      <c r="F2" s="52" t="s">
        <v>311</v>
      </c>
      <c r="G2" s="23" t="s">
        <v>190</v>
      </c>
      <c r="H2" s="55">
        <v>45690</v>
      </c>
      <c r="I2" s="55">
        <v>45692</v>
      </c>
      <c r="J2" s="52">
        <f t="shared" ref="J2:J12" si="0">I2-H2</f>
        <v>2</v>
      </c>
      <c r="K2" s="58"/>
    </row>
    <row r="3" spans="1:11">
      <c r="A3" s="52">
        <v>7506896</v>
      </c>
      <c r="B3" s="52" t="s">
        <v>16</v>
      </c>
      <c r="C3" s="23" t="s">
        <v>251</v>
      </c>
      <c r="D3" s="23" t="s">
        <v>267</v>
      </c>
      <c r="E3" s="23" t="s">
        <v>267</v>
      </c>
      <c r="F3" s="52" t="s">
        <v>311</v>
      </c>
      <c r="G3" s="23" t="s">
        <v>190</v>
      </c>
      <c r="H3" s="55">
        <v>45695</v>
      </c>
      <c r="I3" s="55">
        <v>45695</v>
      </c>
      <c r="J3" s="52">
        <f t="shared" si="0"/>
        <v>0</v>
      </c>
      <c r="K3" s="58"/>
    </row>
    <row r="4" spans="1:11">
      <c r="A4" s="52">
        <v>7527618</v>
      </c>
      <c r="B4" s="52" t="s">
        <v>55</v>
      </c>
      <c r="C4" s="23" t="s">
        <v>251</v>
      </c>
      <c r="D4" s="23" t="s">
        <v>267</v>
      </c>
      <c r="E4" s="52" t="s">
        <v>310</v>
      </c>
      <c r="F4" s="52" t="s">
        <v>309</v>
      </c>
      <c r="G4" s="23" t="s">
        <v>170</v>
      </c>
      <c r="H4" s="55">
        <v>45701</v>
      </c>
      <c r="I4" s="55">
        <v>45706</v>
      </c>
      <c r="J4" s="52">
        <f t="shared" si="0"/>
        <v>5</v>
      </c>
    </row>
    <row r="5" spans="1:11">
      <c r="A5" s="52">
        <v>7542979</v>
      </c>
      <c r="B5" s="52" t="s">
        <v>16</v>
      </c>
      <c r="C5" s="23" t="s">
        <v>251</v>
      </c>
      <c r="D5" s="23" t="s">
        <v>267</v>
      </c>
      <c r="E5" s="23" t="s">
        <v>267</v>
      </c>
      <c r="F5" s="52" t="s">
        <v>308</v>
      </c>
      <c r="G5" s="23" t="s">
        <v>162</v>
      </c>
      <c r="H5" s="55">
        <v>45705</v>
      </c>
      <c r="I5" s="55">
        <v>45706</v>
      </c>
      <c r="J5" s="52">
        <f t="shared" si="0"/>
        <v>1</v>
      </c>
    </row>
    <row r="6" spans="1:11">
      <c r="A6" s="52">
        <v>7546336</v>
      </c>
      <c r="B6" s="52" t="s">
        <v>6</v>
      </c>
      <c r="C6" s="23" t="s">
        <v>251</v>
      </c>
      <c r="D6" s="23" t="s">
        <v>267</v>
      </c>
      <c r="E6" s="57" t="s">
        <v>305</v>
      </c>
      <c r="F6" s="52" t="s">
        <v>307</v>
      </c>
      <c r="G6" s="23" t="s">
        <v>178</v>
      </c>
      <c r="H6" s="55">
        <v>45706</v>
      </c>
      <c r="I6" s="55">
        <v>45706</v>
      </c>
      <c r="J6" s="52">
        <f t="shared" si="0"/>
        <v>0</v>
      </c>
    </row>
    <row r="7" spans="1:11">
      <c r="A7" s="52">
        <v>7548846</v>
      </c>
      <c r="B7" s="52" t="s">
        <v>269</v>
      </c>
      <c r="C7" s="23" t="s">
        <v>251</v>
      </c>
      <c r="D7" s="23" t="s">
        <v>267</v>
      </c>
      <c r="E7" s="57" t="s">
        <v>268</v>
      </c>
      <c r="F7" s="52" t="s">
        <v>306</v>
      </c>
      <c r="G7" s="23" t="s">
        <v>170</v>
      </c>
      <c r="H7" s="55">
        <v>45707</v>
      </c>
      <c r="I7" s="55">
        <v>45707</v>
      </c>
      <c r="J7" s="52">
        <f t="shared" si="0"/>
        <v>0</v>
      </c>
    </row>
    <row r="8" spans="1:11">
      <c r="A8" s="52">
        <v>7567324</v>
      </c>
      <c r="B8" s="52" t="s">
        <v>6</v>
      </c>
      <c r="C8" s="23" t="s">
        <v>251</v>
      </c>
      <c r="D8" s="23" t="s">
        <v>267</v>
      </c>
      <c r="E8" s="57" t="s">
        <v>305</v>
      </c>
      <c r="F8" s="52" t="s">
        <v>304</v>
      </c>
      <c r="G8" s="23" t="s">
        <v>178</v>
      </c>
      <c r="H8" s="55">
        <v>45712</v>
      </c>
      <c r="I8" s="55">
        <v>45712</v>
      </c>
      <c r="J8" s="52">
        <f t="shared" si="0"/>
        <v>0</v>
      </c>
    </row>
    <row r="9" spans="1:11">
      <c r="A9" s="56">
        <v>7491653</v>
      </c>
      <c r="B9" s="56" t="s">
        <v>252</v>
      </c>
      <c r="C9" s="23" t="s">
        <v>251</v>
      </c>
      <c r="D9" s="23" t="s">
        <v>250</v>
      </c>
      <c r="E9" s="57" t="s">
        <v>249</v>
      </c>
      <c r="F9" s="56" t="s">
        <v>303</v>
      </c>
      <c r="G9" s="23" t="s">
        <v>162</v>
      </c>
      <c r="H9" s="55">
        <v>45691</v>
      </c>
      <c r="I9" s="55">
        <v>45693</v>
      </c>
      <c r="J9" s="52">
        <f t="shared" si="0"/>
        <v>2</v>
      </c>
    </row>
    <row r="10" spans="1:11">
      <c r="A10" s="23" t="s">
        <v>302</v>
      </c>
      <c r="B10" s="23" t="s">
        <v>301</v>
      </c>
      <c r="C10" s="23" t="s">
        <v>251</v>
      </c>
      <c r="D10" s="23" t="s">
        <v>267</v>
      </c>
      <c r="E10" s="23" t="s">
        <v>300</v>
      </c>
      <c r="F10" s="54" t="s">
        <v>299</v>
      </c>
      <c r="G10" s="23" t="s">
        <v>190</v>
      </c>
      <c r="H10" s="53">
        <v>45700</v>
      </c>
      <c r="I10" s="53">
        <v>45700</v>
      </c>
      <c r="J10" s="52">
        <f t="shared" si="0"/>
        <v>0</v>
      </c>
    </row>
    <row r="11" spans="1:11">
      <c r="A11" s="23" t="s">
        <v>167</v>
      </c>
      <c r="B11" s="23" t="s">
        <v>1</v>
      </c>
      <c r="C11" s="23" t="s">
        <v>298</v>
      </c>
      <c r="D11" s="23" t="s">
        <v>165</v>
      </c>
      <c r="E11" s="23" t="s">
        <v>297</v>
      </c>
      <c r="F11" s="23" t="s">
        <v>100</v>
      </c>
      <c r="G11" s="23" t="s">
        <v>296</v>
      </c>
      <c r="H11" s="53">
        <v>45713</v>
      </c>
      <c r="I11" s="53">
        <v>45714</v>
      </c>
      <c r="J11" s="52">
        <f t="shared" si="0"/>
        <v>1</v>
      </c>
    </row>
    <row r="12" spans="1:11">
      <c r="A12" s="11" t="s">
        <v>295</v>
      </c>
      <c r="B12" s="11" t="s">
        <v>175</v>
      </c>
      <c r="C12" s="11" t="s">
        <v>294</v>
      </c>
      <c r="D12" s="11" t="s">
        <v>173</v>
      </c>
      <c r="E12" s="11" t="s">
        <v>293</v>
      </c>
      <c r="F12" s="11" t="s">
        <v>226</v>
      </c>
      <c r="G12" s="11" t="s">
        <v>178</v>
      </c>
      <c r="H12" s="13">
        <v>45714</v>
      </c>
      <c r="I12" s="13">
        <v>45714</v>
      </c>
      <c r="J12" s="52">
        <f t="shared" si="0"/>
        <v>0</v>
      </c>
      <c r="K12" s="11"/>
    </row>
    <row r="13" spans="1:11">
      <c r="A13" s="51"/>
      <c r="B13" s="51"/>
      <c r="C13" s="51"/>
      <c r="D13" s="51"/>
      <c r="E13" s="51"/>
      <c r="F13" s="51"/>
      <c r="G13" s="51"/>
      <c r="H13" s="51"/>
      <c r="I13" s="51"/>
      <c r="J13" s="50"/>
    </row>
    <row r="14" spans="1:11">
      <c r="A14" s="23"/>
      <c r="B14" s="23"/>
      <c r="C14" s="23"/>
      <c r="D14" s="23"/>
      <c r="E14" s="23"/>
      <c r="F14" s="23"/>
      <c r="G14" s="23"/>
      <c r="H14" s="23"/>
      <c r="I14" s="23"/>
      <c r="J14" s="49"/>
    </row>
  </sheetData>
  <autoFilter ref="A1:M1" xr:uid="{1A3300F0-7119-47D6-AD24-2FA2C0E657E1}"/>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728DFF5-8EC8-451F-9DDE-4281527DE7FE}">
          <x14:formula1>
            <xm:f>'C:\Users\Daljeet\Downloads\[ABP_FY''26 Issues v2 (1).xlsx]List'!#REF!</xm:f>
          </x14:formula1>
          <xm:sqref>G1:G10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97145-DBA8-430D-BCB0-F42F47067B57}">
  <dimension ref="A1:K147"/>
  <sheetViews>
    <sheetView workbookViewId="0">
      <pane xSplit="11" ySplit="1" topLeftCell="L2" activePane="bottomRight" state="frozen"/>
      <selection sqref="A1:XFD1048576"/>
      <selection pane="topRight" sqref="A1:XFD1048576"/>
      <selection pane="bottomLeft" sqref="A1:XFD1048576"/>
      <selection pane="bottomRight" activeCell="C107" sqref="C107"/>
    </sheetView>
  </sheetViews>
  <sheetFormatPr defaultColWidth="9.1796875" defaultRowHeight="16.5" customHeight="1"/>
  <cols>
    <col min="1" max="1" width="9.1796875" style="11"/>
    <col min="2" max="2" width="5.7265625" style="11" customWidth="1"/>
    <col min="3" max="3" width="9.1796875" style="11"/>
    <col min="4" max="4" width="16.7265625" style="11" customWidth="1"/>
    <col min="5" max="5" width="19.7265625" style="11" customWidth="1"/>
    <col min="6" max="6" width="18" style="11" customWidth="1"/>
    <col min="7" max="7" width="26.54296875" style="11" customWidth="1"/>
    <col min="8" max="8" width="8.81640625" style="63" customWidth="1"/>
    <col min="9" max="9" width="8.54296875" style="13" customWidth="1"/>
    <col min="10" max="10" width="10.7265625" style="11" customWidth="1"/>
    <col min="11" max="11" width="36.54296875" style="62" bestFit="1" customWidth="1"/>
    <col min="12" max="16384" width="9.1796875" style="11"/>
  </cols>
  <sheetData>
    <row r="1" spans="1:11" s="43" customFormat="1" ht="16.5" customHeight="1">
      <c r="A1" s="104" t="s">
        <v>292</v>
      </c>
      <c r="B1" s="104" t="s">
        <v>291</v>
      </c>
      <c r="C1" s="104" t="s">
        <v>290</v>
      </c>
      <c r="D1" s="104" t="s">
        <v>289</v>
      </c>
      <c r="E1" s="104" t="s">
        <v>288</v>
      </c>
      <c r="F1" s="104" t="s">
        <v>287</v>
      </c>
      <c r="G1" s="104" t="s">
        <v>286</v>
      </c>
      <c r="H1" s="103" t="s">
        <v>285</v>
      </c>
      <c r="I1" s="46" t="s">
        <v>284</v>
      </c>
      <c r="J1" s="48" t="s">
        <v>283</v>
      </c>
      <c r="K1" s="102" t="s">
        <v>159</v>
      </c>
    </row>
    <row r="2" spans="1:11" ht="16.5" customHeight="1">
      <c r="A2" s="65">
        <v>7626926</v>
      </c>
      <c r="B2" s="65" t="s">
        <v>35</v>
      </c>
      <c r="C2" s="65" t="s">
        <v>471</v>
      </c>
      <c r="D2" s="65" t="s">
        <v>442</v>
      </c>
      <c r="E2" s="65"/>
      <c r="F2" s="65" t="s">
        <v>470</v>
      </c>
      <c r="G2" s="92" t="s">
        <v>178</v>
      </c>
      <c r="H2" s="90">
        <v>45729</v>
      </c>
      <c r="I2" s="90">
        <v>45729</v>
      </c>
      <c r="J2" s="20">
        <f t="shared" ref="J2:J30" si="0">I2-H2</f>
        <v>0</v>
      </c>
      <c r="K2" s="11" t="s">
        <v>469</v>
      </c>
    </row>
    <row r="3" spans="1:11" ht="16.5" customHeight="1">
      <c r="A3" s="65">
        <v>7653866</v>
      </c>
      <c r="B3" s="65" t="s">
        <v>247</v>
      </c>
      <c r="C3" s="65" t="s">
        <v>251</v>
      </c>
      <c r="D3" s="65" t="s">
        <v>173</v>
      </c>
      <c r="E3" s="65" t="s">
        <v>468</v>
      </c>
      <c r="F3" s="65" t="s">
        <v>316</v>
      </c>
      <c r="G3" s="65" t="s">
        <v>170</v>
      </c>
      <c r="H3" s="90">
        <v>45737</v>
      </c>
      <c r="I3" s="41">
        <v>45740</v>
      </c>
      <c r="J3" s="20">
        <f t="shared" si="0"/>
        <v>3</v>
      </c>
      <c r="K3" s="11"/>
    </row>
    <row r="4" spans="1:11" ht="16.5" customHeight="1">
      <c r="A4" s="95">
        <v>7655481</v>
      </c>
      <c r="B4" s="95" t="s">
        <v>247</v>
      </c>
      <c r="C4" s="95" t="s">
        <v>467</v>
      </c>
      <c r="D4" s="95" t="s">
        <v>173</v>
      </c>
      <c r="E4" s="95" t="s">
        <v>228</v>
      </c>
      <c r="F4" s="95" t="s">
        <v>466</v>
      </c>
      <c r="G4" s="95" t="s">
        <v>162</v>
      </c>
      <c r="H4" s="101">
        <v>45737</v>
      </c>
      <c r="I4" s="93">
        <v>45738</v>
      </c>
      <c r="J4" s="85">
        <f t="shared" si="0"/>
        <v>1</v>
      </c>
      <c r="K4" s="11"/>
    </row>
    <row r="5" spans="1:11" ht="61.5" customHeight="1">
      <c r="A5" s="76">
        <v>7688315</v>
      </c>
      <c r="B5" s="65" t="s">
        <v>425</v>
      </c>
      <c r="C5" s="65" t="s">
        <v>251</v>
      </c>
      <c r="D5" s="65" t="s">
        <v>398</v>
      </c>
      <c r="E5" s="83" t="s">
        <v>464</v>
      </c>
      <c r="F5" s="76" t="s">
        <v>465</v>
      </c>
      <c r="G5" s="65" t="s">
        <v>162</v>
      </c>
      <c r="H5" s="81">
        <v>45747</v>
      </c>
      <c r="I5" s="99">
        <v>45748</v>
      </c>
      <c r="J5" s="20">
        <f t="shared" si="0"/>
        <v>1</v>
      </c>
      <c r="K5" s="65" t="s">
        <v>32</v>
      </c>
    </row>
    <row r="6" spans="1:11" ht="49.5" customHeight="1">
      <c r="A6" s="76">
        <v>7688315</v>
      </c>
      <c r="B6" s="65" t="s">
        <v>425</v>
      </c>
      <c r="C6" s="65" t="s">
        <v>251</v>
      </c>
      <c r="D6" s="65" t="s">
        <v>398</v>
      </c>
      <c r="E6" s="83" t="s">
        <v>464</v>
      </c>
      <c r="F6" s="100" t="s">
        <v>88</v>
      </c>
      <c r="G6" s="65" t="s">
        <v>190</v>
      </c>
      <c r="H6" s="81">
        <v>45747</v>
      </c>
      <c r="I6" s="99">
        <v>45748</v>
      </c>
      <c r="J6" s="20">
        <f t="shared" si="0"/>
        <v>1</v>
      </c>
      <c r="K6" s="65" t="s">
        <v>463</v>
      </c>
    </row>
    <row r="7" spans="1:11" ht="16.5" customHeight="1">
      <c r="A7" s="79">
        <v>7655481</v>
      </c>
      <c r="B7" s="78" t="s">
        <v>247</v>
      </c>
      <c r="C7" s="78" t="s">
        <v>238</v>
      </c>
      <c r="D7" s="78" t="s">
        <v>173</v>
      </c>
      <c r="E7" s="98" t="s">
        <v>228</v>
      </c>
      <c r="F7" s="79" t="s">
        <v>462</v>
      </c>
      <c r="G7" s="78" t="s">
        <v>162</v>
      </c>
      <c r="H7" s="97">
        <v>45737</v>
      </c>
      <c r="I7" s="96">
        <v>45738</v>
      </c>
      <c r="J7" s="77">
        <f t="shared" si="0"/>
        <v>1</v>
      </c>
      <c r="K7" s="11"/>
    </row>
    <row r="8" spans="1:11" ht="16.5" customHeight="1">
      <c r="A8" s="76" t="s">
        <v>167</v>
      </c>
      <c r="B8" s="95" t="s">
        <v>247</v>
      </c>
      <c r="C8" s="95" t="s">
        <v>294</v>
      </c>
      <c r="D8" s="95" t="s">
        <v>173</v>
      </c>
      <c r="E8" s="95" t="s">
        <v>293</v>
      </c>
      <c r="F8" s="95" t="s">
        <v>461</v>
      </c>
      <c r="G8" s="95" t="s">
        <v>168</v>
      </c>
      <c r="H8" s="94">
        <v>45747</v>
      </c>
      <c r="I8" s="93">
        <v>45748</v>
      </c>
      <c r="J8" s="85">
        <f t="shared" si="0"/>
        <v>1</v>
      </c>
      <c r="K8" s="11"/>
    </row>
    <row r="9" spans="1:11" ht="16.5" customHeight="1">
      <c r="A9" s="76" t="s">
        <v>167</v>
      </c>
      <c r="B9" s="65" t="s">
        <v>247</v>
      </c>
      <c r="C9" s="65" t="s">
        <v>238</v>
      </c>
      <c r="D9" s="65" t="s">
        <v>173</v>
      </c>
      <c r="E9" s="65" t="s">
        <v>228</v>
      </c>
      <c r="F9" s="65" t="s">
        <v>350</v>
      </c>
      <c r="G9" s="65" t="s">
        <v>170</v>
      </c>
      <c r="H9" s="90">
        <v>45737</v>
      </c>
      <c r="I9" s="41">
        <v>45742</v>
      </c>
      <c r="J9" s="20">
        <f t="shared" si="0"/>
        <v>5</v>
      </c>
      <c r="K9" s="62" t="s">
        <v>460</v>
      </c>
    </row>
    <row r="10" spans="1:11" ht="16.5" customHeight="1">
      <c r="A10" s="76" t="s">
        <v>167</v>
      </c>
      <c r="B10" s="51" t="s">
        <v>35</v>
      </c>
      <c r="C10" s="51"/>
      <c r="D10" s="51" t="s">
        <v>442</v>
      </c>
      <c r="E10" s="51" t="s">
        <v>445</v>
      </c>
      <c r="F10" s="92" t="s">
        <v>459</v>
      </c>
      <c r="G10" s="92" t="s">
        <v>178</v>
      </c>
      <c r="H10" s="50">
        <v>45744</v>
      </c>
      <c r="I10" s="50">
        <v>45744</v>
      </c>
      <c r="J10" s="77">
        <f t="shared" si="0"/>
        <v>0</v>
      </c>
      <c r="K10" t="s">
        <v>458</v>
      </c>
    </row>
    <row r="11" spans="1:11" ht="16.5" customHeight="1">
      <c r="A11" s="76" t="s">
        <v>167</v>
      </c>
      <c r="B11" s="23" t="s">
        <v>35</v>
      </c>
      <c r="C11" s="23"/>
      <c r="D11" s="23" t="s">
        <v>442</v>
      </c>
      <c r="E11" s="23" t="s">
        <v>445</v>
      </c>
      <c r="F11" s="91" t="s">
        <v>90</v>
      </c>
      <c r="G11" s="65" t="s">
        <v>190</v>
      </c>
      <c r="H11" s="49">
        <v>45744</v>
      </c>
      <c r="I11" s="49">
        <v>45744</v>
      </c>
      <c r="J11" s="20">
        <f t="shared" si="0"/>
        <v>0</v>
      </c>
      <c r="K11" s="11" t="s">
        <v>89</v>
      </c>
    </row>
    <row r="12" spans="1:11" ht="16.5" customHeight="1">
      <c r="A12" s="76" t="s">
        <v>167</v>
      </c>
      <c r="B12" s="23" t="s">
        <v>35</v>
      </c>
      <c r="C12" s="23"/>
      <c r="D12" s="23" t="s">
        <v>442</v>
      </c>
      <c r="E12" s="23" t="s">
        <v>445</v>
      </c>
      <c r="F12" s="91" t="s">
        <v>144</v>
      </c>
      <c r="G12" s="88" t="s">
        <v>178</v>
      </c>
      <c r="H12" s="49">
        <v>45744</v>
      </c>
      <c r="I12" s="49">
        <v>45744</v>
      </c>
      <c r="J12" s="20">
        <f t="shared" si="0"/>
        <v>0</v>
      </c>
      <c r="K12" s="11" t="s">
        <v>457</v>
      </c>
    </row>
    <row r="13" spans="1:11" ht="16.5" customHeight="1">
      <c r="A13" s="76" t="s">
        <v>167</v>
      </c>
      <c r="B13" s="23" t="s">
        <v>35</v>
      </c>
      <c r="C13" s="23"/>
      <c r="D13" s="23" t="s">
        <v>442</v>
      </c>
      <c r="E13" s="23" t="s">
        <v>445</v>
      </c>
      <c r="F13" s="91" t="s">
        <v>456</v>
      </c>
      <c r="G13" s="65" t="s">
        <v>162</v>
      </c>
      <c r="H13" s="90">
        <v>45743</v>
      </c>
      <c r="I13" s="90">
        <v>45743</v>
      </c>
      <c r="J13" s="20">
        <f t="shared" si="0"/>
        <v>0</v>
      </c>
      <c r="K13" s="11" t="s">
        <v>455</v>
      </c>
    </row>
    <row r="14" spans="1:11" ht="16.5" customHeight="1">
      <c r="A14" s="76" t="s">
        <v>167</v>
      </c>
      <c r="B14" s="23" t="s">
        <v>35</v>
      </c>
      <c r="C14" s="23"/>
      <c r="D14" s="23" t="s">
        <v>442</v>
      </c>
      <c r="E14" s="23" t="s">
        <v>445</v>
      </c>
      <c r="F14" s="89" t="s">
        <v>454</v>
      </c>
      <c r="G14" s="88" t="s">
        <v>178</v>
      </c>
      <c r="H14" s="84">
        <v>45733</v>
      </c>
      <c r="I14" s="41">
        <v>45741</v>
      </c>
      <c r="J14" s="20">
        <f t="shared" si="0"/>
        <v>8</v>
      </c>
      <c r="K14" s="62" t="s">
        <v>453</v>
      </c>
    </row>
    <row r="15" spans="1:11" ht="16.5" customHeight="1">
      <c r="A15" s="76" t="s">
        <v>167</v>
      </c>
      <c r="B15" s="23" t="s">
        <v>35</v>
      </c>
      <c r="C15" s="23"/>
      <c r="D15" s="23" t="s">
        <v>442</v>
      </c>
      <c r="E15" s="23" t="s">
        <v>445</v>
      </c>
      <c r="F15" s="87" t="s">
        <v>452</v>
      </c>
      <c r="G15" s="20" t="s">
        <v>178</v>
      </c>
      <c r="H15" s="84">
        <v>45741</v>
      </c>
      <c r="I15" s="41">
        <v>45742</v>
      </c>
      <c r="J15" s="20">
        <f t="shared" si="0"/>
        <v>1</v>
      </c>
      <c r="K15" s="62" t="s">
        <v>451</v>
      </c>
    </row>
    <row r="16" spans="1:11" ht="16.5" customHeight="1">
      <c r="A16" s="76" t="s">
        <v>167</v>
      </c>
      <c r="B16" s="23" t="s">
        <v>35</v>
      </c>
      <c r="C16" s="23"/>
      <c r="D16" s="23" t="s">
        <v>442</v>
      </c>
      <c r="E16" s="23" t="s">
        <v>445</v>
      </c>
      <c r="F16" s="87" t="s">
        <v>450</v>
      </c>
      <c r="G16" s="20" t="s">
        <v>162</v>
      </c>
      <c r="H16" s="84">
        <v>45740</v>
      </c>
      <c r="I16" s="84">
        <v>45740</v>
      </c>
      <c r="J16" s="20">
        <f t="shared" si="0"/>
        <v>0</v>
      </c>
      <c r="K16" s="62" t="s">
        <v>449</v>
      </c>
    </row>
    <row r="17" spans="1:11" ht="16.5" customHeight="1">
      <c r="A17" s="76" t="s">
        <v>167</v>
      </c>
      <c r="B17" s="11" t="s">
        <v>35</v>
      </c>
      <c r="D17" s="23" t="s">
        <v>442</v>
      </c>
      <c r="E17" s="11" t="s">
        <v>448</v>
      </c>
      <c r="F17" s="62" t="s">
        <v>91</v>
      </c>
      <c r="G17" s="65" t="s">
        <v>190</v>
      </c>
      <c r="H17" s="84">
        <v>45729</v>
      </c>
      <c r="I17" s="41">
        <v>45729</v>
      </c>
      <c r="J17" s="20">
        <f t="shared" si="0"/>
        <v>0</v>
      </c>
      <c r="K17" s="11" t="s">
        <v>447</v>
      </c>
    </row>
    <row r="18" spans="1:11" ht="16.5" customHeight="1">
      <c r="A18" s="76" t="s">
        <v>167</v>
      </c>
      <c r="B18" s="23" t="s">
        <v>35</v>
      </c>
      <c r="C18" s="23"/>
      <c r="D18" s="23" t="s">
        <v>442</v>
      </c>
      <c r="E18" s="23" t="s">
        <v>445</v>
      </c>
      <c r="F18" s="87" t="s">
        <v>36</v>
      </c>
      <c r="G18" s="20" t="s">
        <v>162</v>
      </c>
      <c r="H18" s="84">
        <v>45735</v>
      </c>
      <c r="I18" s="84">
        <v>45735</v>
      </c>
      <c r="J18" s="20">
        <f t="shared" si="0"/>
        <v>0</v>
      </c>
      <c r="K18" s="62" t="s">
        <v>446</v>
      </c>
    </row>
    <row r="19" spans="1:11" ht="16.5" customHeight="1">
      <c r="A19" s="76" t="s">
        <v>167</v>
      </c>
      <c r="B19" s="23" t="s">
        <v>35</v>
      </c>
      <c r="C19" s="23"/>
      <c r="D19" s="23" t="s">
        <v>442</v>
      </c>
      <c r="E19" s="23" t="s">
        <v>445</v>
      </c>
      <c r="F19" s="87" t="s">
        <v>444</v>
      </c>
      <c r="G19" s="20" t="s">
        <v>178</v>
      </c>
      <c r="H19" s="84">
        <v>45729</v>
      </c>
      <c r="I19" s="41">
        <v>45729</v>
      </c>
      <c r="J19" s="20">
        <f t="shared" si="0"/>
        <v>0</v>
      </c>
      <c r="K19" s="11" t="s">
        <v>443</v>
      </c>
    </row>
    <row r="20" spans="1:11" ht="16.5" customHeight="1">
      <c r="A20" s="76" t="s">
        <v>167</v>
      </c>
      <c r="B20" s="11" t="s">
        <v>35</v>
      </c>
      <c r="D20" s="11" t="s">
        <v>442</v>
      </c>
      <c r="E20" s="11" t="s">
        <v>441</v>
      </c>
      <c r="F20" s="11" t="s">
        <v>440</v>
      </c>
      <c r="G20" s="65" t="s">
        <v>178</v>
      </c>
      <c r="H20" s="63">
        <v>45747</v>
      </c>
      <c r="I20" s="13">
        <v>45748</v>
      </c>
      <c r="J20" s="20">
        <f t="shared" si="0"/>
        <v>1</v>
      </c>
      <c r="K20" s="62" t="s">
        <v>439</v>
      </c>
    </row>
    <row r="21" spans="1:11" ht="16.5" customHeight="1">
      <c r="A21" s="76" t="s">
        <v>167</v>
      </c>
      <c r="B21" s="20" t="s">
        <v>247</v>
      </c>
      <c r="C21" s="20" t="s">
        <v>229</v>
      </c>
      <c r="D21" s="20" t="s">
        <v>173</v>
      </c>
      <c r="E21" s="20" t="s">
        <v>228</v>
      </c>
      <c r="F21" s="65" t="s">
        <v>438</v>
      </c>
      <c r="G21" s="20" t="s">
        <v>178</v>
      </c>
      <c r="H21" s="84">
        <v>45741</v>
      </c>
      <c r="I21" s="41">
        <v>45743</v>
      </c>
      <c r="J21" s="85">
        <f t="shared" si="0"/>
        <v>2</v>
      </c>
      <c r="K21" s="11"/>
    </row>
    <row r="22" spans="1:11" ht="16.5" customHeight="1">
      <c r="A22" s="76" t="s">
        <v>167</v>
      </c>
      <c r="B22" s="11" t="s">
        <v>247</v>
      </c>
      <c r="C22" s="11" t="s">
        <v>436</v>
      </c>
      <c r="D22" s="11" t="s">
        <v>173</v>
      </c>
      <c r="E22" s="11" t="s">
        <v>433</v>
      </c>
      <c r="F22" s="62" t="s">
        <v>437</v>
      </c>
      <c r="G22" s="11" t="s">
        <v>178</v>
      </c>
      <c r="H22" s="63">
        <v>45736</v>
      </c>
      <c r="I22" s="13">
        <v>45736</v>
      </c>
      <c r="J22" s="85">
        <f t="shared" si="0"/>
        <v>0</v>
      </c>
      <c r="K22" s="11" t="s">
        <v>431</v>
      </c>
    </row>
    <row r="23" spans="1:11" ht="16.5" customHeight="1">
      <c r="A23" s="76" t="s">
        <v>167</v>
      </c>
      <c r="B23" s="11" t="s">
        <v>247</v>
      </c>
      <c r="C23" s="11" t="s">
        <v>436</v>
      </c>
      <c r="D23" s="11" t="s">
        <v>173</v>
      </c>
      <c r="E23" s="11" t="s">
        <v>433</v>
      </c>
      <c r="F23" s="62" t="s">
        <v>435</v>
      </c>
      <c r="G23" s="11" t="s">
        <v>178</v>
      </c>
      <c r="H23" s="63">
        <v>45736</v>
      </c>
      <c r="I23" s="13">
        <v>45736</v>
      </c>
      <c r="J23" s="85">
        <f t="shared" si="0"/>
        <v>0</v>
      </c>
      <c r="K23" s="11" t="s">
        <v>431</v>
      </c>
    </row>
    <row r="24" spans="1:11" ht="16.5" customHeight="1">
      <c r="A24" s="86" t="s">
        <v>167</v>
      </c>
      <c r="B24" s="11" t="s">
        <v>175</v>
      </c>
      <c r="C24" s="11" t="s">
        <v>434</v>
      </c>
      <c r="D24" s="11" t="s">
        <v>173</v>
      </c>
      <c r="E24" s="11" t="s">
        <v>433</v>
      </c>
      <c r="F24" s="62" t="s">
        <v>432</v>
      </c>
      <c r="G24" s="11" t="s">
        <v>178</v>
      </c>
      <c r="H24" s="63">
        <v>45740</v>
      </c>
      <c r="I24" s="63">
        <v>45740</v>
      </c>
      <c r="J24" s="85">
        <f t="shared" si="0"/>
        <v>0</v>
      </c>
      <c r="K24" s="11" t="s">
        <v>431</v>
      </c>
    </row>
    <row r="25" spans="1:11" ht="16.5" customHeight="1">
      <c r="A25" s="76" t="s">
        <v>167</v>
      </c>
      <c r="B25" s="65" t="s">
        <v>425</v>
      </c>
      <c r="C25" s="65" t="s">
        <v>276</v>
      </c>
      <c r="D25" s="65" t="s">
        <v>398</v>
      </c>
      <c r="E25" s="83" t="s">
        <v>426</v>
      </c>
      <c r="F25" s="76" t="s">
        <v>43</v>
      </c>
      <c r="G25" s="65" t="s">
        <v>162</v>
      </c>
      <c r="H25" s="84">
        <v>45740</v>
      </c>
      <c r="I25" s="84">
        <v>45740</v>
      </c>
      <c r="J25" s="20">
        <f t="shared" si="0"/>
        <v>0</v>
      </c>
      <c r="K25" s="80" t="s">
        <v>430</v>
      </c>
    </row>
    <row r="26" spans="1:11" ht="16.5" customHeight="1">
      <c r="A26" s="52">
        <v>7667195</v>
      </c>
      <c r="B26" s="65" t="s">
        <v>425</v>
      </c>
      <c r="C26" s="65" t="s">
        <v>276</v>
      </c>
      <c r="D26" s="65" t="s">
        <v>398</v>
      </c>
      <c r="E26" s="83" t="s">
        <v>426</v>
      </c>
      <c r="F26" s="76" t="s">
        <v>429</v>
      </c>
      <c r="G26" s="65" t="s">
        <v>170</v>
      </c>
      <c r="H26" s="84">
        <v>45741</v>
      </c>
      <c r="I26" s="84">
        <v>45741</v>
      </c>
      <c r="J26" s="20">
        <f t="shared" si="0"/>
        <v>0</v>
      </c>
      <c r="K26" s="80" t="s">
        <v>428</v>
      </c>
    </row>
    <row r="27" spans="1:11" ht="16.5" customHeight="1">
      <c r="A27" s="76" t="s">
        <v>167</v>
      </c>
      <c r="B27" s="65" t="s">
        <v>425</v>
      </c>
      <c r="C27" s="65" t="s">
        <v>276</v>
      </c>
      <c r="D27" s="65" t="s">
        <v>398</v>
      </c>
      <c r="E27" s="83" t="s">
        <v>426</v>
      </c>
      <c r="F27" s="76" t="s">
        <v>110</v>
      </c>
      <c r="G27" s="20" t="s">
        <v>178</v>
      </c>
      <c r="H27" s="84">
        <v>45743</v>
      </c>
      <c r="I27" s="84">
        <v>45743</v>
      </c>
      <c r="J27" s="20">
        <f t="shared" si="0"/>
        <v>0</v>
      </c>
      <c r="K27" s="80" t="s">
        <v>427</v>
      </c>
    </row>
    <row r="28" spans="1:11" ht="16.5" customHeight="1">
      <c r="A28" s="76" t="s">
        <v>167</v>
      </c>
      <c r="B28" s="65" t="s">
        <v>425</v>
      </c>
      <c r="C28" s="65" t="s">
        <v>276</v>
      </c>
      <c r="D28" s="65" t="s">
        <v>398</v>
      </c>
      <c r="E28" s="83" t="s">
        <v>426</v>
      </c>
      <c r="F28" s="76" t="s">
        <v>109</v>
      </c>
      <c r="G28" s="20" t="s">
        <v>178</v>
      </c>
      <c r="H28" s="84">
        <v>45743</v>
      </c>
      <c r="I28" s="84">
        <v>45743</v>
      </c>
      <c r="J28" s="20">
        <f t="shared" si="0"/>
        <v>0</v>
      </c>
      <c r="K28" s="80" t="s">
        <v>108</v>
      </c>
    </row>
    <row r="29" spans="1:11" ht="16.5" customHeight="1">
      <c r="A29" s="76" t="s">
        <v>167</v>
      </c>
      <c r="B29" s="65" t="s">
        <v>425</v>
      </c>
      <c r="C29" s="65" t="s">
        <v>199</v>
      </c>
      <c r="D29" s="65" t="s">
        <v>398</v>
      </c>
      <c r="E29" s="83" t="s">
        <v>424</v>
      </c>
      <c r="F29" s="82" t="s">
        <v>121</v>
      </c>
      <c r="G29" s="65" t="s">
        <v>178</v>
      </c>
      <c r="H29" s="81">
        <v>45740</v>
      </c>
      <c r="I29" s="81">
        <v>45740</v>
      </c>
      <c r="J29" s="20">
        <f t="shared" si="0"/>
        <v>0</v>
      </c>
      <c r="K29" s="80" t="s">
        <v>423</v>
      </c>
    </row>
    <row r="30" spans="1:11" ht="16.5" customHeight="1">
      <c r="A30" s="79" t="s">
        <v>167</v>
      </c>
      <c r="B30" s="11" t="s">
        <v>420</v>
      </c>
      <c r="C30" s="11" t="s">
        <v>199</v>
      </c>
      <c r="D30" s="11" t="s">
        <v>419</v>
      </c>
      <c r="E30" s="11" t="s">
        <v>422</v>
      </c>
      <c r="F30" s="11" t="s">
        <v>421</v>
      </c>
      <c r="G30" s="78" t="s">
        <v>168</v>
      </c>
      <c r="H30" s="63">
        <v>45741</v>
      </c>
      <c r="I30" s="13">
        <v>45741</v>
      </c>
      <c r="J30" s="77">
        <f t="shared" si="0"/>
        <v>0</v>
      </c>
    </row>
    <row r="31" spans="1:11" ht="16.5" customHeight="1">
      <c r="A31" s="76" t="s">
        <v>167</v>
      </c>
      <c r="B31" s="11" t="s">
        <v>420</v>
      </c>
      <c r="C31" s="11" t="s">
        <v>276</v>
      </c>
      <c r="D31" s="11" t="s">
        <v>419</v>
      </c>
      <c r="E31" s="11" t="s">
        <v>418</v>
      </c>
      <c r="F31" s="17" t="s">
        <v>417</v>
      </c>
      <c r="G31" s="65" t="s">
        <v>178</v>
      </c>
      <c r="H31" s="63">
        <v>45741</v>
      </c>
      <c r="I31" s="13">
        <v>45744</v>
      </c>
      <c r="J31" s="20">
        <v>1</v>
      </c>
      <c r="K31" s="62" t="s">
        <v>416</v>
      </c>
    </row>
    <row r="32" spans="1:11" ht="16.5" customHeight="1">
      <c r="A32" s="37">
        <v>7598657</v>
      </c>
      <c r="B32" s="36" t="s">
        <v>55</v>
      </c>
      <c r="C32" s="36" t="s">
        <v>55</v>
      </c>
      <c r="D32" s="23" t="s">
        <v>398</v>
      </c>
      <c r="E32" s="36" t="s">
        <v>415</v>
      </c>
      <c r="F32" s="36" t="s">
        <v>414</v>
      </c>
      <c r="G32" t="s">
        <v>170</v>
      </c>
      <c r="H32" s="35">
        <v>45721</v>
      </c>
      <c r="I32" s="35">
        <v>45740</v>
      </c>
      <c r="J32" s="36">
        <v>19.2</v>
      </c>
      <c r="K32" s="62" t="s">
        <v>413</v>
      </c>
    </row>
    <row r="33" spans="1:11" ht="16.5" customHeight="1">
      <c r="A33" s="37">
        <v>7608303</v>
      </c>
      <c r="B33" s="36" t="s">
        <v>14</v>
      </c>
      <c r="C33" s="23" t="s">
        <v>251</v>
      </c>
      <c r="D33" s="23" t="s">
        <v>267</v>
      </c>
      <c r="E33" s="36" t="s">
        <v>267</v>
      </c>
      <c r="F33" s="36" t="s">
        <v>412</v>
      </c>
      <c r="G33" t="s">
        <v>190</v>
      </c>
      <c r="H33" s="35">
        <v>45723</v>
      </c>
      <c r="I33" s="35">
        <v>45727</v>
      </c>
      <c r="J33" s="36">
        <v>4.0999999999999996</v>
      </c>
      <c r="K33" s="62" t="s">
        <v>407</v>
      </c>
    </row>
    <row r="34" spans="1:11" ht="16.5" customHeight="1">
      <c r="A34" s="37">
        <v>7625068</v>
      </c>
      <c r="B34" s="39" t="s">
        <v>55</v>
      </c>
      <c r="C34" s="36" t="s">
        <v>55</v>
      </c>
      <c r="D34" t="s">
        <v>398</v>
      </c>
      <c r="E34" s="36" t="s">
        <v>310</v>
      </c>
      <c r="F34" s="36" t="s">
        <v>411</v>
      </c>
      <c r="G34" t="s">
        <v>168</v>
      </c>
      <c r="H34" s="35">
        <v>45728</v>
      </c>
      <c r="I34" s="35">
        <v>45729</v>
      </c>
      <c r="J34" s="36">
        <v>0.8</v>
      </c>
      <c r="K34" s="62" t="s">
        <v>407</v>
      </c>
    </row>
    <row r="35" spans="1:11" ht="16.5" customHeight="1">
      <c r="A35" s="37">
        <v>7625203</v>
      </c>
      <c r="B35" s="36" t="s">
        <v>55</v>
      </c>
      <c r="C35" s="36" t="s">
        <v>55</v>
      </c>
      <c r="D35" t="s">
        <v>398</v>
      </c>
      <c r="E35" s="36" t="s">
        <v>310</v>
      </c>
      <c r="F35" s="36" t="s">
        <v>410</v>
      </c>
      <c r="G35" t="s">
        <v>168</v>
      </c>
      <c r="H35" s="35">
        <v>45728</v>
      </c>
      <c r="I35" s="35">
        <v>45729</v>
      </c>
      <c r="J35" s="36">
        <v>0.8</v>
      </c>
      <c r="K35" s="62" t="s">
        <v>407</v>
      </c>
    </row>
    <row r="36" spans="1:11" ht="16.5" customHeight="1">
      <c r="A36" s="37">
        <v>7627223</v>
      </c>
      <c r="B36" s="36" t="s">
        <v>55</v>
      </c>
      <c r="C36" s="36" t="s">
        <v>55</v>
      </c>
      <c r="D36" t="s">
        <v>398</v>
      </c>
      <c r="E36" s="36" t="s">
        <v>409</v>
      </c>
      <c r="F36" s="36" t="s">
        <v>408</v>
      </c>
      <c r="G36" t="s">
        <v>168</v>
      </c>
      <c r="H36" s="35">
        <v>45729</v>
      </c>
      <c r="I36" s="35">
        <v>45731</v>
      </c>
      <c r="J36" s="36">
        <v>2</v>
      </c>
      <c r="K36" s="62" t="s">
        <v>407</v>
      </c>
    </row>
    <row r="37" spans="1:11" ht="16.5" customHeight="1">
      <c r="A37" s="37">
        <v>7628603</v>
      </c>
      <c r="B37" s="36" t="s">
        <v>55</v>
      </c>
      <c r="C37" s="36" t="s">
        <v>55</v>
      </c>
      <c r="D37" t="s">
        <v>398</v>
      </c>
      <c r="E37" s="36" t="s">
        <v>406</v>
      </c>
      <c r="F37" s="36" t="s">
        <v>405</v>
      </c>
      <c r="G37" t="s">
        <v>190</v>
      </c>
      <c r="H37" s="35">
        <v>45729</v>
      </c>
      <c r="I37" s="35">
        <v>45731</v>
      </c>
      <c r="J37" s="36">
        <v>1.8</v>
      </c>
      <c r="K37" s="62" t="s">
        <v>404</v>
      </c>
    </row>
    <row r="38" spans="1:11" ht="16.5" customHeight="1">
      <c r="A38" s="37">
        <v>7644933</v>
      </c>
      <c r="B38" s="36" t="s">
        <v>14</v>
      </c>
      <c r="C38" s="23" t="s">
        <v>251</v>
      </c>
      <c r="D38" s="23" t="s">
        <v>267</v>
      </c>
      <c r="E38" s="36" t="s">
        <v>274</v>
      </c>
      <c r="F38" s="36" t="s">
        <v>92</v>
      </c>
      <c r="G38" t="s">
        <v>190</v>
      </c>
      <c r="H38" s="35">
        <v>45735</v>
      </c>
      <c r="I38" s="35">
        <v>45737</v>
      </c>
      <c r="J38" s="36">
        <v>1.8</v>
      </c>
      <c r="K38" s="62" t="s">
        <v>403</v>
      </c>
    </row>
    <row r="39" spans="1:11" ht="16.5" customHeight="1">
      <c r="A39" s="37">
        <v>7646464</v>
      </c>
      <c r="B39" s="36" t="s">
        <v>14</v>
      </c>
      <c r="C39" s="23" t="s">
        <v>251</v>
      </c>
      <c r="D39" s="23" t="s">
        <v>267</v>
      </c>
      <c r="E39" s="36" t="s">
        <v>267</v>
      </c>
      <c r="F39" s="36" t="s">
        <v>92</v>
      </c>
      <c r="G39" t="s">
        <v>190</v>
      </c>
      <c r="H39" s="35">
        <v>45735</v>
      </c>
      <c r="I39" s="35">
        <v>45736</v>
      </c>
      <c r="J39" s="36">
        <v>0.9</v>
      </c>
      <c r="K39" s="62" t="s">
        <v>403</v>
      </c>
    </row>
    <row r="40" spans="1:11" ht="16.5" customHeight="1">
      <c r="A40" s="37">
        <v>7659883</v>
      </c>
      <c r="B40" s="36" t="s">
        <v>269</v>
      </c>
      <c r="C40" s="23" t="s">
        <v>251</v>
      </c>
      <c r="D40" s="23" t="s">
        <v>267</v>
      </c>
      <c r="E40" s="36" t="s">
        <v>389</v>
      </c>
      <c r="F40" s="36" t="s">
        <v>402</v>
      </c>
      <c r="G40" t="s">
        <v>190</v>
      </c>
      <c r="H40" s="35">
        <v>45740</v>
      </c>
      <c r="I40" s="35">
        <v>45740</v>
      </c>
      <c r="J40" s="36">
        <v>0.2</v>
      </c>
      <c r="K40" s="62" t="s">
        <v>401</v>
      </c>
    </row>
    <row r="41" spans="1:11" ht="16.5" customHeight="1">
      <c r="A41" s="37">
        <v>7663220</v>
      </c>
      <c r="B41" s="36" t="s">
        <v>269</v>
      </c>
      <c r="C41" s="23" t="s">
        <v>251</v>
      </c>
      <c r="D41" s="23" t="s">
        <v>267</v>
      </c>
      <c r="E41" s="36" t="s">
        <v>268</v>
      </c>
      <c r="F41" s="36" t="s">
        <v>400</v>
      </c>
      <c r="G41" t="s">
        <v>190</v>
      </c>
      <c r="H41" s="35">
        <v>45740</v>
      </c>
      <c r="I41" s="35">
        <v>45742</v>
      </c>
      <c r="J41" s="36">
        <v>1.8</v>
      </c>
    </row>
    <row r="42" spans="1:11" ht="16.5" customHeight="1">
      <c r="A42" s="37">
        <v>7670282</v>
      </c>
      <c r="B42" s="36" t="s">
        <v>55</v>
      </c>
      <c r="C42" s="36" t="s">
        <v>55</v>
      </c>
      <c r="D42" t="s">
        <v>398</v>
      </c>
      <c r="E42" s="36" t="s">
        <v>397</v>
      </c>
      <c r="F42" s="36" t="s">
        <v>399</v>
      </c>
      <c r="G42" t="s">
        <v>168</v>
      </c>
      <c r="H42" s="35">
        <v>45742</v>
      </c>
      <c r="I42" s="35">
        <v>45742</v>
      </c>
      <c r="J42" s="36">
        <v>0</v>
      </c>
      <c r="K42" s="62" t="s">
        <v>364</v>
      </c>
    </row>
    <row r="43" spans="1:11" ht="16.5" customHeight="1">
      <c r="A43" s="37">
        <v>7671562</v>
      </c>
      <c r="B43" s="36" t="s">
        <v>55</v>
      </c>
      <c r="C43" s="36" t="s">
        <v>55</v>
      </c>
      <c r="D43" t="s">
        <v>398</v>
      </c>
      <c r="E43" s="36" t="s">
        <v>397</v>
      </c>
      <c r="F43" s="36" t="s">
        <v>399</v>
      </c>
      <c r="G43" t="s">
        <v>168</v>
      </c>
      <c r="H43" s="35">
        <v>45742</v>
      </c>
      <c r="I43" s="35">
        <v>45743</v>
      </c>
      <c r="J43" s="36">
        <v>0.8</v>
      </c>
      <c r="K43" s="62" t="s">
        <v>364</v>
      </c>
    </row>
    <row r="44" spans="1:11" ht="16.5" customHeight="1">
      <c r="A44" s="37">
        <v>7676267</v>
      </c>
      <c r="B44" s="36" t="s">
        <v>55</v>
      </c>
      <c r="C44" s="36" t="s">
        <v>55</v>
      </c>
      <c r="D44" t="s">
        <v>398</v>
      </c>
      <c r="E44" s="36" t="s">
        <v>397</v>
      </c>
      <c r="F44" s="36" t="s">
        <v>396</v>
      </c>
      <c r="G44" t="s">
        <v>168</v>
      </c>
      <c r="H44" s="35">
        <v>45743</v>
      </c>
      <c r="I44" s="35">
        <v>45751</v>
      </c>
      <c r="J44" s="36">
        <v>10.7</v>
      </c>
      <c r="K44" s="62" t="s">
        <v>364</v>
      </c>
    </row>
    <row r="45" spans="1:11" ht="16.5" customHeight="1">
      <c r="A45" s="11" t="s">
        <v>167</v>
      </c>
      <c r="B45" s="11" t="s">
        <v>247</v>
      </c>
      <c r="C45" s="11" t="s">
        <v>251</v>
      </c>
      <c r="D45" s="11" t="s">
        <v>259</v>
      </c>
      <c r="E45" s="11" t="s">
        <v>395</v>
      </c>
      <c r="F45" s="11" t="s">
        <v>394</v>
      </c>
      <c r="G45" s="11" t="s">
        <v>162</v>
      </c>
      <c r="H45" s="63">
        <v>45734</v>
      </c>
      <c r="I45" s="13">
        <v>45734</v>
      </c>
      <c r="J45" s="11">
        <v>0.5</v>
      </c>
      <c r="K45" s="62" t="s">
        <v>393</v>
      </c>
    </row>
    <row r="46" spans="1:11" ht="16.5" customHeight="1">
      <c r="A46" s="11" t="s">
        <v>167</v>
      </c>
      <c r="B46" s="11" t="s">
        <v>9</v>
      </c>
      <c r="C46" s="11" t="s">
        <v>251</v>
      </c>
      <c r="D46" s="11" t="s">
        <v>259</v>
      </c>
      <c r="E46" s="11" t="s">
        <v>389</v>
      </c>
      <c r="F46" s="11" t="s">
        <v>392</v>
      </c>
      <c r="G46" s="11" t="s">
        <v>162</v>
      </c>
      <c r="H46" s="63">
        <v>45737</v>
      </c>
      <c r="I46" s="13">
        <v>45737</v>
      </c>
      <c r="J46" s="11">
        <v>0.3</v>
      </c>
      <c r="K46" s="62" t="s">
        <v>390</v>
      </c>
    </row>
    <row r="47" spans="1:11" ht="16.5" customHeight="1">
      <c r="A47" s="11" t="s">
        <v>167</v>
      </c>
      <c r="B47" s="11" t="s">
        <v>9</v>
      </c>
      <c r="C47" s="11" t="s">
        <v>251</v>
      </c>
      <c r="D47" s="11" t="s">
        <v>259</v>
      </c>
      <c r="E47" s="11" t="s">
        <v>389</v>
      </c>
      <c r="F47" s="11" t="s">
        <v>391</v>
      </c>
      <c r="G47" t="s">
        <v>190</v>
      </c>
      <c r="H47" s="63">
        <v>45741</v>
      </c>
      <c r="I47" s="13">
        <v>45743</v>
      </c>
      <c r="J47" s="11">
        <v>1</v>
      </c>
      <c r="K47" s="62" t="s">
        <v>390</v>
      </c>
    </row>
    <row r="48" spans="1:11" ht="16.5" customHeight="1">
      <c r="A48" s="11" t="s">
        <v>167</v>
      </c>
      <c r="B48" s="11" t="s">
        <v>9</v>
      </c>
      <c r="C48" s="11" t="s">
        <v>251</v>
      </c>
      <c r="D48" s="11" t="s">
        <v>259</v>
      </c>
      <c r="E48" s="11" t="s">
        <v>389</v>
      </c>
      <c r="F48" s="11" t="s">
        <v>388</v>
      </c>
      <c r="G48" s="65" t="s">
        <v>178</v>
      </c>
      <c r="H48" s="63">
        <v>45744</v>
      </c>
      <c r="I48" s="13">
        <v>45744</v>
      </c>
      <c r="J48" s="11">
        <v>0.5</v>
      </c>
    </row>
    <row r="49" spans="1:11" customFormat="1" ht="14.5">
      <c r="A49" s="26">
        <v>7655084</v>
      </c>
      <c r="B49" s="22" t="s">
        <v>52</v>
      </c>
      <c r="C49" s="11" t="s">
        <v>251</v>
      </c>
      <c r="D49" s="25" t="s">
        <v>250</v>
      </c>
      <c r="E49" s="22" t="s">
        <v>250</v>
      </c>
      <c r="F49" s="22" t="s">
        <v>387</v>
      </c>
      <c r="G49" s="23" t="s">
        <v>168</v>
      </c>
      <c r="H49" s="75">
        <v>45737.768750000003</v>
      </c>
      <c r="I49" s="75">
        <v>45742.556250000001</v>
      </c>
      <c r="J49" s="22">
        <v>0</v>
      </c>
    </row>
    <row r="50" spans="1:11" customFormat="1" ht="14.5">
      <c r="A50" s="26">
        <v>7658621</v>
      </c>
      <c r="B50" s="22" t="s">
        <v>52</v>
      </c>
      <c r="C50" s="11" t="s">
        <v>251</v>
      </c>
      <c r="D50" s="25" t="s">
        <v>250</v>
      </c>
      <c r="E50" s="22" t="s">
        <v>250</v>
      </c>
      <c r="F50" s="22" t="s">
        <v>386</v>
      </c>
      <c r="G50" s="23" t="s">
        <v>168</v>
      </c>
      <c r="H50" s="75">
        <v>45739.488888888889</v>
      </c>
      <c r="I50" s="75">
        <v>45740.456250000003</v>
      </c>
      <c r="J50" s="22">
        <v>0</v>
      </c>
    </row>
    <row r="51" spans="1:11" customFormat="1" ht="14.5">
      <c r="A51" s="26">
        <v>7661767</v>
      </c>
      <c r="B51" s="22" t="s">
        <v>254</v>
      </c>
      <c r="C51" s="11" t="s">
        <v>382</v>
      </c>
      <c r="D51" s="25" t="s">
        <v>250</v>
      </c>
      <c r="E51" s="22" t="s">
        <v>250</v>
      </c>
      <c r="F51" s="22" t="s">
        <v>385</v>
      </c>
      <c r="G51" s="23" t="s">
        <v>315</v>
      </c>
      <c r="H51" s="75">
        <v>45740.586111111108</v>
      </c>
      <c r="I51" s="75">
        <v>45740.677777777775</v>
      </c>
      <c r="J51" s="22">
        <v>0.11</v>
      </c>
    </row>
    <row r="52" spans="1:11" customFormat="1" ht="14.5">
      <c r="A52" s="26">
        <v>7665543</v>
      </c>
      <c r="B52" s="22" t="s">
        <v>252</v>
      </c>
      <c r="C52" s="11" t="s">
        <v>251</v>
      </c>
      <c r="D52" s="25" t="s">
        <v>250</v>
      </c>
      <c r="E52" s="22" t="s">
        <v>384</v>
      </c>
      <c r="F52" s="22" t="s">
        <v>383</v>
      </c>
      <c r="G52" s="23" t="s">
        <v>168</v>
      </c>
      <c r="H52" s="75">
        <v>45741.500694444447</v>
      </c>
      <c r="I52" s="75">
        <v>45742.43472222222</v>
      </c>
      <c r="J52" s="22">
        <v>0.11</v>
      </c>
    </row>
    <row r="53" spans="1:11" customFormat="1" ht="14.5">
      <c r="A53" s="26" t="s">
        <v>167</v>
      </c>
      <c r="B53" s="22" t="s">
        <v>254</v>
      </c>
      <c r="C53" s="11" t="s">
        <v>382</v>
      </c>
      <c r="D53" s="25" t="s">
        <v>250</v>
      </c>
      <c r="E53" s="22" t="s">
        <v>381</v>
      </c>
      <c r="F53" s="22" t="s">
        <v>380</v>
      </c>
      <c r="G53" s="23" t="s">
        <v>162</v>
      </c>
      <c r="H53" s="75"/>
      <c r="I53" s="75"/>
      <c r="J53" s="22"/>
    </row>
    <row r="54" spans="1:11" customFormat="1" ht="14.5">
      <c r="A54" s="26">
        <v>7674644</v>
      </c>
      <c r="B54" s="22" t="s">
        <v>52</v>
      </c>
      <c r="C54" s="11" t="s">
        <v>251</v>
      </c>
      <c r="D54" s="25" t="s">
        <v>250</v>
      </c>
      <c r="E54" s="22" t="s">
        <v>250</v>
      </c>
      <c r="F54" s="22" t="s">
        <v>379</v>
      </c>
      <c r="G54" s="23" t="s">
        <v>168</v>
      </c>
      <c r="H54" s="75">
        <v>45743.554861111108</v>
      </c>
      <c r="I54" s="74"/>
      <c r="J54" s="22">
        <v>0</v>
      </c>
    </row>
    <row r="55" spans="1:11" ht="16.5" customHeight="1">
      <c r="A55" s="11" t="s">
        <v>167</v>
      </c>
      <c r="B55" s="22" t="s">
        <v>52</v>
      </c>
      <c r="C55" s="11" t="s">
        <v>251</v>
      </c>
      <c r="D55" s="67" t="s">
        <v>250</v>
      </c>
      <c r="E55" s="67" t="s">
        <v>366</v>
      </c>
      <c r="F55" s="67" t="s">
        <v>378</v>
      </c>
      <c r="G55" s="65" t="s">
        <v>168</v>
      </c>
      <c r="H55" s="66">
        <v>45733</v>
      </c>
      <c r="I55" s="66">
        <v>45734</v>
      </c>
      <c r="K55" s="62" t="s">
        <v>364</v>
      </c>
    </row>
    <row r="56" spans="1:11" ht="16.5" customHeight="1">
      <c r="A56" s="11" t="s">
        <v>167</v>
      </c>
      <c r="B56" s="22" t="s">
        <v>52</v>
      </c>
      <c r="C56" s="11" t="s">
        <v>251</v>
      </c>
      <c r="D56" s="71" t="s">
        <v>250</v>
      </c>
      <c r="E56" s="71" t="s">
        <v>366</v>
      </c>
      <c r="F56" s="72" t="s">
        <v>377</v>
      </c>
      <c r="G56" s="65" t="s">
        <v>168</v>
      </c>
      <c r="H56" s="69">
        <v>45737</v>
      </c>
      <c r="I56" s="69">
        <v>45737</v>
      </c>
      <c r="J56" s="11">
        <v>0</v>
      </c>
      <c r="K56" s="62" t="s">
        <v>364</v>
      </c>
    </row>
    <row r="57" spans="1:11" ht="16.5" customHeight="1">
      <c r="A57" s="11" t="s">
        <v>167</v>
      </c>
      <c r="B57" s="22" t="s">
        <v>52</v>
      </c>
      <c r="C57" s="11" t="s">
        <v>251</v>
      </c>
      <c r="D57" s="71" t="s">
        <v>250</v>
      </c>
      <c r="E57" s="71" t="s">
        <v>366</v>
      </c>
      <c r="F57" s="72" t="s">
        <v>376</v>
      </c>
      <c r="G57" s="65" t="s">
        <v>168</v>
      </c>
      <c r="H57" s="69">
        <v>45737</v>
      </c>
      <c r="I57" s="69">
        <v>45737</v>
      </c>
      <c r="J57" s="11">
        <v>0</v>
      </c>
      <c r="K57" s="62" t="s">
        <v>364</v>
      </c>
    </row>
    <row r="58" spans="1:11" ht="16.5" customHeight="1">
      <c r="A58" s="11" t="s">
        <v>167</v>
      </c>
      <c r="B58" s="22" t="s">
        <v>52</v>
      </c>
      <c r="C58" s="11" t="s">
        <v>251</v>
      </c>
      <c r="D58" s="71" t="s">
        <v>250</v>
      </c>
      <c r="E58" s="71" t="s">
        <v>366</v>
      </c>
      <c r="F58" s="72" t="s">
        <v>375</v>
      </c>
      <c r="G58" s="65" t="s">
        <v>168</v>
      </c>
      <c r="H58" s="69">
        <v>45737</v>
      </c>
      <c r="I58" s="69">
        <v>45737</v>
      </c>
      <c r="J58" s="11">
        <v>0</v>
      </c>
      <c r="K58" s="62" t="s">
        <v>364</v>
      </c>
    </row>
    <row r="59" spans="1:11" ht="16.5" customHeight="1">
      <c r="A59" s="11" t="s">
        <v>167</v>
      </c>
      <c r="B59" s="22" t="s">
        <v>52</v>
      </c>
      <c r="C59" s="11" t="s">
        <v>251</v>
      </c>
      <c r="D59" s="71" t="s">
        <v>250</v>
      </c>
      <c r="E59" s="71" t="s">
        <v>366</v>
      </c>
      <c r="F59" s="72" t="s">
        <v>374</v>
      </c>
      <c r="G59" s="65" t="s">
        <v>168</v>
      </c>
      <c r="H59" s="69">
        <v>45737</v>
      </c>
      <c r="I59" s="69">
        <v>45737</v>
      </c>
      <c r="J59" s="11">
        <v>0</v>
      </c>
      <c r="K59" s="62" t="s">
        <v>364</v>
      </c>
    </row>
    <row r="60" spans="1:11" ht="16.5" customHeight="1">
      <c r="A60" s="11" t="s">
        <v>167</v>
      </c>
      <c r="B60" s="22" t="s">
        <v>52</v>
      </c>
      <c r="C60" s="11" t="s">
        <v>251</v>
      </c>
      <c r="D60" s="68" t="s">
        <v>250</v>
      </c>
      <c r="E60" s="71" t="s">
        <v>366</v>
      </c>
      <c r="F60" s="68" t="s">
        <v>373</v>
      </c>
      <c r="G60" s="65" t="s">
        <v>168</v>
      </c>
      <c r="H60" s="66">
        <v>45740</v>
      </c>
      <c r="I60" s="66">
        <v>45740</v>
      </c>
      <c r="J60" s="11">
        <v>0</v>
      </c>
      <c r="K60" s="62" t="s">
        <v>364</v>
      </c>
    </row>
    <row r="61" spans="1:11" ht="16.5" customHeight="1">
      <c r="A61" s="11" t="s">
        <v>167</v>
      </c>
      <c r="B61" s="22" t="s">
        <v>52</v>
      </c>
      <c r="C61" s="11" t="s">
        <v>251</v>
      </c>
      <c r="D61" s="68" t="s">
        <v>250</v>
      </c>
      <c r="E61" s="71" t="s">
        <v>366</v>
      </c>
      <c r="F61" s="67" t="s">
        <v>372</v>
      </c>
      <c r="G61" s="65" t="s">
        <v>168</v>
      </c>
      <c r="H61" s="66">
        <v>45740</v>
      </c>
      <c r="I61" s="66">
        <v>45741</v>
      </c>
      <c r="J61" s="11">
        <v>0</v>
      </c>
      <c r="K61" s="62" t="s">
        <v>364</v>
      </c>
    </row>
    <row r="62" spans="1:11" ht="16.5" customHeight="1">
      <c r="A62" s="11" t="s">
        <v>167</v>
      </c>
      <c r="B62" s="22" t="s">
        <v>52</v>
      </c>
      <c r="C62" s="11" t="s">
        <v>251</v>
      </c>
      <c r="D62" s="71" t="s">
        <v>250</v>
      </c>
      <c r="E62" s="71" t="s">
        <v>366</v>
      </c>
      <c r="F62" s="73" t="s">
        <v>371</v>
      </c>
      <c r="G62" s="65" t="s">
        <v>168</v>
      </c>
      <c r="H62" s="69">
        <v>45741</v>
      </c>
      <c r="I62" s="69">
        <v>45741</v>
      </c>
      <c r="J62" s="11">
        <v>0</v>
      </c>
      <c r="K62" s="62" t="s">
        <v>364</v>
      </c>
    </row>
    <row r="63" spans="1:11" ht="16.5" customHeight="1">
      <c r="A63" s="11" t="s">
        <v>167</v>
      </c>
      <c r="B63" s="22" t="s">
        <v>52</v>
      </c>
      <c r="C63" s="11" t="s">
        <v>251</v>
      </c>
      <c r="D63" s="71" t="s">
        <v>250</v>
      </c>
      <c r="E63" s="71" t="s">
        <v>366</v>
      </c>
      <c r="F63" s="72" t="s">
        <v>370</v>
      </c>
      <c r="G63" s="65" t="s">
        <v>168</v>
      </c>
      <c r="H63" s="69">
        <v>45741</v>
      </c>
      <c r="I63" s="69">
        <v>45741</v>
      </c>
      <c r="J63" s="11">
        <v>0</v>
      </c>
      <c r="K63" s="62" t="s">
        <v>364</v>
      </c>
    </row>
    <row r="64" spans="1:11" ht="16.5" customHeight="1">
      <c r="A64" s="11" t="s">
        <v>167</v>
      </c>
      <c r="B64" s="22" t="s">
        <v>52</v>
      </c>
      <c r="C64" s="11" t="s">
        <v>251</v>
      </c>
      <c r="D64" s="71" t="s">
        <v>250</v>
      </c>
      <c r="E64" s="71" t="s">
        <v>366</v>
      </c>
      <c r="F64" s="72" t="s">
        <v>369</v>
      </c>
      <c r="G64" s="65" t="s">
        <v>168</v>
      </c>
      <c r="H64" s="69">
        <v>45741</v>
      </c>
      <c r="I64" s="69">
        <v>45741</v>
      </c>
      <c r="J64" s="11">
        <v>0</v>
      </c>
      <c r="K64" s="62" t="s">
        <v>364</v>
      </c>
    </row>
    <row r="65" spans="1:11" ht="16.5" customHeight="1">
      <c r="A65" s="11" t="s">
        <v>167</v>
      </c>
      <c r="B65" s="22" t="s">
        <v>52</v>
      </c>
      <c r="C65" s="11" t="s">
        <v>251</v>
      </c>
      <c r="D65" s="71" t="s">
        <v>250</v>
      </c>
      <c r="E65" s="71" t="s">
        <v>366</v>
      </c>
      <c r="F65" s="72" t="s">
        <v>368</v>
      </c>
      <c r="G65" s="65" t="s">
        <v>168</v>
      </c>
      <c r="H65" s="69">
        <v>45741</v>
      </c>
      <c r="I65" s="69">
        <v>45741</v>
      </c>
      <c r="J65" s="11">
        <v>0</v>
      </c>
      <c r="K65" s="62" t="s">
        <v>364</v>
      </c>
    </row>
    <row r="66" spans="1:11" ht="16.5" customHeight="1">
      <c r="A66" s="11" t="s">
        <v>167</v>
      </c>
      <c r="B66" s="22" t="s">
        <v>52</v>
      </c>
      <c r="C66" s="11" t="s">
        <v>251</v>
      </c>
      <c r="D66" s="71" t="s">
        <v>250</v>
      </c>
      <c r="E66" s="71" t="s">
        <v>366</v>
      </c>
      <c r="F66" s="70" t="s">
        <v>367</v>
      </c>
      <c r="G66" s="65" t="s">
        <v>168</v>
      </c>
      <c r="H66" s="69">
        <v>45741</v>
      </c>
      <c r="I66" s="69">
        <v>45741</v>
      </c>
      <c r="J66" s="11">
        <v>0</v>
      </c>
      <c r="K66" s="62" t="s">
        <v>364</v>
      </c>
    </row>
    <row r="67" spans="1:11" ht="16.5" customHeight="1">
      <c r="A67" s="11" t="s">
        <v>167</v>
      </c>
      <c r="B67" s="22" t="s">
        <v>52</v>
      </c>
      <c r="C67" s="11" t="s">
        <v>251</v>
      </c>
      <c r="D67" s="68" t="s">
        <v>250</v>
      </c>
      <c r="E67" s="68" t="s">
        <v>366</v>
      </c>
      <c r="F67" s="67" t="s">
        <v>365</v>
      </c>
      <c r="G67" s="65" t="s">
        <v>168</v>
      </c>
      <c r="H67" s="66">
        <v>45744</v>
      </c>
      <c r="I67" s="66">
        <v>45744</v>
      </c>
      <c r="J67" s="11">
        <v>0</v>
      </c>
      <c r="K67" s="62" t="s">
        <v>364</v>
      </c>
    </row>
    <row r="68" spans="1:11" ht="16.5" customHeight="1">
      <c r="A68" s="11" t="s">
        <v>167</v>
      </c>
      <c r="B68" s="11" t="s">
        <v>104</v>
      </c>
      <c r="D68" s="11" t="s">
        <v>267</v>
      </c>
      <c r="E68" s="11" t="s">
        <v>360</v>
      </c>
      <c r="F68" s="11" t="s">
        <v>363</v>
      </c>
      <c r="G68" s="65" t="s">
        <v>178</v>
      </c>
      <c r="H68" s="63">
        <v>45723</v>
      </c>
      <c r="I68" s="63">
        <v>45723</v>
      </c>
      <c r="J68" s="11">
        <v>0</v>
      </c>
      <c r="K68" s="62" t="s">
        <v>358</v>
      </c>
    </row>
    <row r="69" spans="1:11" ht="16.5" customHeight="1">
      <c r="A69" s="11" t="s">
        <v>167</v>
      </c>
      <c r="B69" s="11" t="s">
        <v>104</v>
      </c>
      <c r="D69" s="11" t="s">
        <v>267</v>
      </c>
      <c r="E69" s="11" t="s">
        <v>360</v>
      </c>
      <c r="F69" s="18" t="s">
        <v>362</v>
      </c>
      <c r="G69" s="65" t="s">
        <v>178</v>
      </c>
      <c r="H69" s="63">
        <v>45723</v>
      </c>
      <c r="I69" s="63">
        <v>45723</v>
      </c>
      <c r="J69" s="11">
        <v>0</v>
      </c>
      <c r="K69" s="62" t="s">
        <v>358</v>
      </c>
    </row>
    <row r="70" spans="1:11" ht="16.5" customHeight="1">
      <c r="A70" s="11" t="s">
        <v>167</v>
      </c>
      <c r="B70" s="11" t="s">
        <v>104</v>
      </c>
      <c r="D70" s="11" t="s">
        <v>267</v>
      </c>
      <c r="E70" s="11" t="s">
        <v>360</v>
      </c>
      <c r="F70" s="18" t="s">
        <v>361</v>
      </c>
      <c r="G70" s="65" t="s">
        <v>170</v>
      </c>
      <c r="H70" s="63">
        <v>45723</v>
      </c>
      <c r="I70" s="63">
        <v>45723</v>
      </c>
      <c r="J70" s="11">
        <v>0</v>
      </c>
      <c r="K70" s="62" t="s">
        <v>358</v>
      </c>
    </row>
    <row r="71" spans="1:11" ht="16.5" customHeight="1">
      <c r="A71" s="11" t="s">
        <v>167</v>
      </c>
      <c r="B71" s="11" t="s">
        <v>104</v>
      </c>
      <c r="D71" s="11" t="s">
        <v>267</v>
      </c>
      <c r="E71" s="11" t="s">
        <v>360</v>
      </c>
      <c r="F71" s="18" t="s">
        <v>359</v>
      </c>
      <c r="G71" s="65" t="s">
        <v>162</v>
      </c>
      <c r="H71" s="63">
        <v>45723</v>
      </c>
      <c r="I71" s="63">
        <v>45723</v>
      </c>
      <c r="J71" s="11">
        <v>0</v>
      </c>
      <c r="K71" s="62" t="s">
        <v>358</v>
      </c>
    </row>
    <row r="72" spans="1:11" ht="16.5" customHeight="1">
      <c r="B72" s="11" t="s">
        <v>357</v>
      </c>
      <c r="D72" s="11" t="s">
        <v>165</v>
      </c>
      <c r="E72" s="11" t="s">
        <v>165</v>
      </c>
      <c r="F72" s="11" t="s">
        <v>356</v>
      </c>
      <c r="G72" s="11" t="s">
        <v>162</v>
      </c>
      <c r="H72" s="63">
        <v>45735</v>
      </c>
      <c r="I72" s="13">
        <v>45736</v>
      </c>
    </row>
    <row r="73" spans="1:11" ht="16.5" customHeight="1">
      <c r="A73" s="11" t="s">
        <v>176</v>
      </c>
      <c r="B73" s="11" t="s">
        <v>175</v>
      </c>
      <c r="C73" s="11" t="s">
        <v>23</v>
      </c>
      <c r="D73" s="11" t="s">
        <v>173</v>
      </c>
      <c r="E73" s="11" t="s">
        <v>351</v>
      </c>
      <c r="F73" s="11" t="s">
        <v>355</v>
      </c>
      <c r="G73" s="11" t="s">
        <v>168</v>
      </c>
      <c r="H73" s="13">
        <v>45741</v>
      </c>
      <c r="I73" s="13">
        <v>45741</v>
      </c>
      <c r="J73" s="14">
        <f>I73-H73</f>
        <v>0</v>
      </c>
      <c r="K73" s="11" t="s">
        <v>354</v>
      </c>
    </row>
    <row r="74" spans="1:11" ht="16.5" customHeight="1">
      <c r="A74" s="11" t="s">
        <v>176</v>
      </c>
      <c r="B74" s="11" t="s">
        <v>175</v>
      </c>
      <c r="C74" s="11" t="s">
        <v>23</v>
      </c>
      <c r="D74" s="11" t="s">
        <v>173</v>
      </c>
      <c r="E74" s="11" t="s">
        <v>351</v>
      </c>
      <c r="F74" s="11" t="s">
        <v>353</v>
      </c>
      <c r="G74" s="11" t="s">
        <v>168</v>
      </c>
      <c r="H74" s="13">
        <v>45742</v>
      </c>
      <c r="I74" s="13">
        <v>45742</v>
      </c>
      <c r="J74" s="12"/>
      <c r="K74" s="11" t="s">
        <v>352</v>
      </c>
    </row>
    <row r="75" spans="1:11" ht="16.5" customHeight="1">
      <c r="A75" s="11" t="s">
        <v>176</v>
      </c>
      <c r="B75" s="11" t="s">
        <v>175</v>
      </c>
      <c r="C75" s="11" t="s">
        <v>23</v>
      </c>
      <c r="D75" s="11" t="s">
        <v>173</v>
      </c>
      <c r="E75" s="11" t="s">
        <v>351</v>
      </c>
      <c r="F75" s="11" t="s">
        <v>22</v>
      </c>
      <c r="G75" s="11" t="s">
        <v>162</v>
      </c>
      <c r="H75" s="13">
        <v>45739</v>
      </c>
      <c r="I75" s="13">
        <v>45739</v>
      </c>
      <c r="J75" s="12"/>
      <c r="K75" s="11"/>
    </row>
    <row r="76" spans="1:11" ht="16.5" customHeight="1">
      <c r="A76" s="11" t="s">
        <v>230</v>
      </c>
      <c r="B76" s="11" t="s">
        <v>175</v>
      </c>
      <c r="C76" s="11" t="s">
        <v>229</v>
      </c>
      <c r="D76" s="11" t="s">
        <v>173</v>
      </c>
      <c r="E76" s="11" t="s">
        <v>228</v>
      </c>
      <c r="F76" s="11" t="s">
        <v>350</v>
      </c>
      <c r="G76" s="11" t="s">
        <v>170</v>
      </c>
      <c r="H76" s="13">
        <v>45737</v>
      </c>
      <c r="I76" s="13">
        <v>45737</v>
      </c>
      <c r="J76" s="14">
        <f t="shared" ref="J76:J103" si="1">I76-H76</f>
        <v>0</v>
      </c>
      <c r="K76" s="11"/>
    </row>
    <row r="77" spans="1:11" ht="16.5" customHeight="1">
      <c r="A77" s="11" t="s">
        <v>230</v>
      </c>
      <c r="B77" s="11" t="s">
        <v>175</v>
      </c>
      <c r="C77" s="11" t="s">
        <v>229</v>
      </c>
      <c r="D77" s="11" t="s">
        <v>173</v>
      </c>
      <c r="E77" s="11" t="s">
        <v>228</v>
      </c>
      <c r="F77" s="11" t="s">
        <v>29</v>
      </c>
      <c r="G77" s="11" t="s">
        <v>342</v>
      </c>
      <c r="H77" s="13">
        <v>45737</v>
      </c>
      <c r="I77" s="13">
        <v>45737</v>
      </c>
      <c r="J77" s="14">
        <f t="shared" si="1"/>
        <v>0</v>
      </c>
      <c r="K77" s="12" t="s">
        <v>29</v>
      </c>
    </row>
    <row r="78" spans="1:11" ht="16.5" customHeight="1">
      <c r="A78" s="11" t="s">
        <v>230</v>
      </c>
      <c r="B78" s="11" t="s">
        <v>175</v>
      </c>
      <c r="C78" s="11" t="s">
        <v>229</v>
      </c>
      <c r="D78" s="11" t="s">
        <v>173</v>
      </c>
      <c r="E78" s="11" t="s">
        <v>228</v>
      </c>
      <c r="F78" s="11" t="s">
        <v>28</v>
      </c>
      <c r="G78" s="20" t="s">
        <v>162</v>
      </c>
      <c r="H78" s="13">
        <v>45742</v>
      </c>
      <c r="I78" s="13">
        <v>45742</v>
      </c>
      <c r="J78" s="14">
        <f t="shared" si="1"/>
        <v>0</v>
      </c>
      <c r="K78" s="11"/>
    </row>
    <row r="79" spans="1:11" ht="16.5" customHeight="1">
      <c r="A79" s="11" t="s">
        <v>230</v>
      </c>
      <c r="B79" s="11" t="s">
        <v>175</v>
      </c>
      <c r="C79" s="11" t="s">
        <v>229</v>
      </c>
      <c r="D79" s="11" t="s">
        <v>173</v>
      </c>
      <c r="E79" s="11" t="s">
        <v>228</v>
      </c>
      <c r="F79" s="11" t="s">
        <v>349</v>
      </c>
      <c r="G79" s="11" t="s">
        <v>168</v>
      </c>
      <c r="H79" s="13">
        <v>45779</v>
      </c>
      <c r="I79" s="13">
        <v>45779</v>
      </c>
      <c r="J79" s="14">
        <f t="shared" si="1"/>
        <v>0</v>
      </c>
      <c r="K79" s="11" t="s">
        <v>348</v>
      </c>
    </row>
    <row r="80" spans="1:11" ht="16.5" customHeight="1">
      <c r="A80" s="11" t="s">
        <v>230</v>
      </c>
      <c r="B80" s="11" t="s">
        <v>175</v>
      </c>
      <c r="C80" s="11" t="s">
        <v>229</v>
      </c>
      <c r="D80" s="11" t="s">
        <v>173</v>
      </c>
      <c r="E80" s="11" t="s">
        <v>228</v>
      </c>
      <c r="F80" s="11" t="s">
        <v>347</v>
      </c>
      <c r="G80" s="11" t="s">
        <v>168</v>
      </c>
      <c r="H80" s="13">
        <v>45792</v>
      </c>
      <c r="I80" s="13">
        <v>45793</v>
      </c>
      <c r="J80" s="14">
        <f t="shared" si="1"/>
        <v>1</v>
      </c>
      <c r="K80" s="11" t="s">
        <v>346</v>
      </c>
    </row>
    <row r="81" spans="1:11" ht="16.5" customHeight="1">
      <c r="A81" s="11" t="s">
        <v>230</v>
      </c>
      <c r="B81" s="11" t="s">
        <v>175</v>
      </c>
      <c r="C81" s="11" t="s">
        <v>229</v>
      </c>
      <c r="D81" s="11" t="s">
        <v>173</v>
      </c>
      <c r="E81" s="11" t="s">
        <v>336</v>
      </c>
      <c r="F81" s="11" t="s">
        <v>345</v>
      </c>
      <c r="G81" s="11" t="s">
        <v>168</v>
      </c>
      <c r="H81" s="13">
        <v>45793</v>
      </c>
      <c r="I81" s="13">
        <v>45795</v>
      </c>
      <c r="J81" s="14">
        <f t="shared" si="1"/>
        <v>2</v>
      </c>
      <c r="K81" s="12" t="s">
        <v>344</v>
      </c>
    </row>
    <row r="82" spans="1:11" ht="16.5" customHeight="1">
      <c r="A82" s="11" t="s">
        <v>230</v>
      </c>
      <c r="B82" s="11" t="s">
        <v>175</v>
      </c>
      <c r="C82" s="11" t="s">
        <v>229</v>
      </c>
      <c r="D82" s="11" t="s">
        <v>173</v>
      </c>
      <c r="E82" s="11" t="s">
        <v>336</v>
      </c>
      <c r="F82" s="64" t="s">
        <v>343</v>
      </c>
      <c r="G82" s="11" t="s">
        <v>342</v>
      </c>
      <c r="H82" s="13">
        <v>45797</v>
      </c>
      <c r="I82" s="13">
        <v>45797</v>
      </c>
      <c r="J82" s="14">
        <f t="shared" si="1"/>
        <v>0</v>
      </c>
      <c r="K82" s="11"/>
    </row>
    <row r="83" spans="1:11" ht="16.5" customHeight="1">
      <c r="A83" s="11" t="s">
        <v>230</v>
      </c>
      <c r="B83" s="11" t="s">
        <v>175</v>
      </c>
      <c r="C83" s="11" t="s">
        <v>229</v>
      </c>
      <c r="D83" s="11" t="s">
        <v>173</v>
      </c>
      <c r="E83" s="11" t="s">
        <v>336</v>
      </c>
      <c r="F83" s="11" t="s">
        <v>341</v>
      </c>
      <c r="G83" s="11" t="s">
        <v>168</v>
      </c>
      <c r="H83" s="13">
        <v>45798</v>
      </c>
      <c r="I83" s="13">
        <v>45799</v>
      </c>
      <c r="J83" s="14">
        <f t="shared" si="1"/>
        <v>1</v>
      </c>
      <c r="K83" s="11" t="s">
        <v>340</v>
      </c>
    </row>
    <row r="84" spans="1:11" ht="16.5" customHeight="1">
      <c r="A84" s="11" t="s">
        <v>230</v>
      </c>
      <c r="B84" s="11" t="s">
        <v>175</v>
      </c>
      <c r="C84" s="11" t="s">
        <v>229</v>
      </c>
      <c r="D84" s="11" t="s">
        <v>173</v>
      </c>
      <c r="E84" s="11" t="s">
        <v>336</v>
      </c>
      <c r="F84" s="11" t="s">
        <v>339</v>
      </c>
      <c r="G84" s="11" t="s">
        <v>168</v>
      </c>
      <c r="H84" s="13">
        <v>45800</v>
      </c>
      <c r="I84" s="13">
        <v>45807</v>
      </c>
      <c r="J84" s="14">
        <f t="shared" si="1"/>
        <v>7</v>
      </c>
      <c r="K84" s="12" t="s">
        <v>338</v>
      </c>
    </row>
    <row r="85" spans="1:11" ht="16.5" customHeight="1">
      <c r="A85" s="11" t="s">
        <v>230</v>
      </c>
      <c r="B85" s="11" t="s">
        <v>175</v>
      </c>
      <c r="C85" s="11" t="s">
        <v>229</v>
      </c>
      <c r="D85" s="11" t="s">
        <v>173</v>
      </c>
      <c r="E85" s="11" t="s">
        <v>336</v>
      </c>
      <c r="F85" s="64" t="s">
        <v>3</v>
      </c>
      <c r="G85" s="11" t="s">
        <v>170</v>
      </c>
      <c r="H85" s="13">
        <v>45806</v>
      </c>
      <c r="I85" s="13">
        <v>45806</v>
      </c>
      <c r="J85" s="14">
        <f t="shared" si="1"/>
        <v>0</v>
      </c>
      <c r="K85" s="11"/>
    </row>
    <row r="86" spans="1:11" ht="16.5" customHeight="1">
      <c r="A86" s="11" t="s">
        <v>176</v>
      </c>
      <c r="B86" s="11" t="s">
        <v>175</v>
      </c>
      <c r="C86" s="11" t="s">
        <v>229</v>
      </c>
      <c r="D86" s="11" t="s">
        <v>173</v>
      </c>
      <c r="E86" s="11" t="s">
        <v>228</v>
      </c>
      <c r="F86" s="64" t="s">
        <v>337</v>
      </c>
      <c r="G86" s="11" t="s">
        <v>178</v>
      </c>
      <c r="H86" s="13">
        <v>45807</v>
      </c>
      <c r="I86" s="13">
        <v>45817</v>
      </c>
      <c r="J86" s="14">
        <f t="shared" si="1"/>
        <v>10</v>
      </c>
      <c r="K86" s="11"/>
    </row>
    <row r="87" spans="1:11" ht="16.5" customHeight="1">
      <c r="A87" s="11" t="s">
        <v>230</v>
      </c>
      <c r="B87" s="11" t="s">
        <v>175</v>
      </c>
      <c r="C87" s="11" t="s">
        <v>229</v>
      </c>
      <c r="D87" s="11" t="s">
        <v>173</v>
      </c>
      <c r="E87" s="11" t="s">
        <v>336</v>
      </c>
      <c r="F87" s="11" t="s">
        <v>335</v>
      </c>
      <c r="G87" s="11" t="s">
        <v>168</v>
      </c>
      <c r="H87" s="13">
        <v>45808</v>
      </c>
      <c r="I87" s="13">
        <v>45808</v>
      </c>
      <c r="J87" s="14">
        <f t="shared" si="1"/>
        <v>0</v>
      </c>
      <c r="K87" s="12" t="s">
        <v>334</v>
      </c>
    </row>
    <row r="88" spans="1:11" ht="16.5" customHeight="1">
      <c r="A88" s="11" t="s">
        <v>230</v>
      </c>
      <c r="B88" s="11" t="s">
        <v>175</v>
      </c>
      <c r="C88" s="11" t="s">
        <v>294</v>
      </c>
      <c r="D88" s="11" t="s">
        <v>173</v>
      </c>
      <c r="E88" s="11" t="s">
        <v>293</v>
      </c>
      <c r="F88" s="11" t="s">
        <v>333</v>
      </c>
      <c r="G88" s="11" t="s">
        <v>178</v>
      </c>
      <c r="H88" s="13">
        <v>45663</v>
      </c>
      <c r="I88" s="13">
        <v>45663</v>
      </c>
      <c r="J88" s="14">
        <f t="shared" si="1"/>
        <v>0</v>
      </c>
      <c r="K88" s="11"/>
    </row>
    <row r="89" spans="1:11" ht="16.5" customHeight="1">
      <c r="A89" s="11" t="s">
        <v>230</v>
      </c>
      <c r="B89" s="11" t="s">
        <v>175</v>
      </c>
      <c r="C89" s="11" t="s">
        <v>294</v>
      </c>
      <c r="D89" s="11" t="s">
        <v>173</v>
      </c>
      <c r="E89" s="11" t="s">
        <v>293</v>
      </c>
      <c r="F89" s="11" t="s">
        <v>332</v>
      </c>
      <c r="G89" s="11" t="s">
        <v>178</v>
      </c>
      <c r="H89" s="13">
        <v>45663</v>
      </c>
      <c r="I89" s="13">
        <v>45663</v>
      </c>
      <c r="J89" s="14">
        <f t="shared" si="1"/>
        <v>0</v>
      </c>
      <c r="K89" s="11"/>
    </row>
    <row r="90" spans="1:11" ht="16.5" customHeight="1">
      <c r="A90" s="11" t="s">
        <v>230</v>
      </c>
      <c r="B90" s="11" t="s">
        <v>175</v>
      </c>
      <c r="C90" s="11" t="s">
        <v>294</v>
      </c>
      <c r="D90" s="11" t="s">
        <v>173</v>
      </c>
      <c r="E90" s="11" t="s">
        <v>293</v>
      </c>
      <c r="F90" s="11" t="s">
        <v>331</v>
      </c>
      <c r="G90" s="11" t="s">
        <v>178</v>
      </c>
      <c r="H90" s="13">
        <v>45663</v>
      </c>
      <c r="I90" s="13">
        <v>45663</v>
      </c>
      <c r="J90" s="14">
        <f t="shared" si="1"/>
        <v>0</v>
      </c>
      <c r="K90" s="11"/>
    </row>
    <row r="91" spans="1:11" ht="16.5" customHeight="1">
      <c r="A91" s="11" t="s">
        <v>295</v>
      </c>
      <c r="B91" s="11" t="s">
        <v>175</v>
      </c>
      <c r="C91" s="11" t="s">
        <v>294</v>
      </c>
      <c r="D91" s="11" t="s">
        <v>173</v>
      </c>
      <c r="E91" s="11" t="s">
        <v>293</v>
      </c>
      <c r="F91" s="11" t="s">
        <v>330</v>
      </c>
      <c r="G91" s="11" t="s">
        <v>178</v>
      </c>
      <c r="H91" s="13">
        <v>45685</v>
      </c>
      <c r="I91" s="13">
        <v>45685</v>
      </c>
      <c r="J91" s="14">
        <f t="shared" si="1"/>
        <v>0</v>
      </c>
      <c r="K91" s="11"/>
    </row>
    <row r="92" spans="1:11" ht="16.5" customHeight="1">
      <c r="A92" s="11" t="s">
        <v>295</v>
      </c>
      <c r="B92" s="11" t="s">
        <v>175</v>
      </c>
      <c r="C92" s="11" t="s">
        <v>294</v>
      </c>
      <c r="D92" s="11" t="s">
        <v>173</v>
      </c>
      <c r="E92" s="11" t="s">
        <v>293</v>
      </c>
      <c r="F92" s="11" t="s">
        <v>329</v>
      </c>
      <c r="G92" s="11" t="s">
        <v>178</v>
      </c>
      <c r="H92" s="13">
        <v>45663</v>
      </c>
      <c r="I92" s="13">
        <v>45663</v>
      </c>
      <c r="J92" s="14">
        <f t="shared" si="1"/>
        <v>0</v>
      </c>
      <c r="K92" s="11"/>
    </row>
    <row r="93" spans="1:11" ht="16.5" customHeight="1">
      <c r="A93" s="11" t="s">
        <v>295</v>
      </c>
      <c r="B93" s="11" t="s">
        <v>175</v>
      </c>
      <c r="C93" s="11" t="s">
        <v>294</v>
      </c>
      <c r="D93" s="11" t="s">
        <v>173</v>
      </c>
      <c r="E93" s="11" t="s">
        <v>293</v>
      </c>
      <c r="F93" s="11" t="s">
        <v>328</v>
      </c>
      <c r="G93" s="11" t="s">
        <v>178</v>
      </c>
      <c r="H93" s="13">
        <v>45685</v>
      </c>
      <c r="I93" s="13">
        <v>45685</v>
      </c>
      <c r="J93" s="14">
        <f t="shared" si="1"/>
        <v>0</v>
      </c>
      <c r="K93" s="11"/>
    </row>
    <row r="94" spans="1:11" ht="16.5" customHeight="1">
      <c r="B94" s="11" t="s">
        <v>175</v>
      </c>
      <c r="C94" s="11" t="s">
        <v>294</v>
      </c>
      <c r="D94" s="11" t="s">
        <v>173</v>
      </c>
      <c r="E94" s="11" t="s">
        <v>293</v>
      </c>
      <c r="F94" s="11" t="s">
        <v>327</v>
      </c>
      <c r="G94" s="11" t="s">
        <v>178</v>
      </c>
      <c r="H94" s="13">
        <v>45751</v>
      </c>
      <c r="I94" s="13">
        <v>45751</v>
      </c>
      <c r="J94" s="14">
        <f t="shared" si="1"/>
        <v>0</v>
      </c>
      <c r="K94" s="11"/>
    </row>
    <row r="95" spans="1:11" ht="16.5" customHeight="1">
      <c r="A95" s="11" t="s">
        <v>295</v>
      </c>
      <c r="B95" s="11" t="s">
        <v>175</v>
      </c>
      <c r="C95" s="11" t="s">
        <v>294</v>
      </c>
      <c r="D95" s="11" t="s">
        <v>173</v>
      </c>
      <c r="E95" s="11" t="s">
        <v>293</v>
      </c>
      <c r="F95" s="11" t="s">
        <v>326</v>
      </c>
      <c r="G95" s="11" t="s">
        <v>178</v>
      </c>
      <c r="H95" s="13">
        <v>45796</v>
      </c>
      <c r="I95" s="13">
        <v>45796</v>
      </c>
      <c r="J95" s="14">
        <f t="shared" si="1"/>
        <v>0</v>
      </c>
      <c r="K95" s="11"/>
    </row>
    <row r="96" spans="1:11" ht="16.5" customHeight="1">
      <c r="A96" s="11" t="s">
        <v>295</v>
      </c>
      <c r="B96" s="11" t="s">
        <v>175</v>
      </c>
      <c r="C96" s="11" t="s">
        <v>294</v>
      </c>
      <c r="D96" s="11" t="s">
        <v>173</v>
      </c>
      <c r="E96" s="11" t="s">
        <v>293</v>
      </c>
      <c r="F96" s="11" t="s">
        <v>325</v>
      </c>
      <c r="G96" s="11" t="s">
        <v>178</v>
      </c>
      <c r="H96" s="13">
        <v>45768</v>
      </c>
      <c r="I96" s="13">
        <v>45768</v>
      </c>
      <c r="J96" s="14">
        <f t="shared" si="1"/>
        <v>0</v>
      </c>
      <c r="K96" s="11"/>
    </row>
    <row r="97" spans="1:11" ht="16.5" customHeight="1">
      <c r="A97" s="11" t="s">
        <v>295</v>
      </c>
      <c r="B97" s="11" t="s">
        <v>175</v>
      </c>
      <c r="C97" s="11" t="s">
        <v>294</v>
      </c>
      <c r="D97" s="11" t="s">
        <v>173</v>
      </c>
      <c r="E97" s="11" t="s">
        <v>293</v>
      </c>
      <c r="F97" s="11" t="s">
        <v>324</v>
      </c>
      <c r="G97" s="11" t="s">
        <v>178</v>
      </c>
      <c r="H97" s="13">
        <v>45768</v>
      </c>
      <c r="I97" s="13">
        <v>45768</v>
      </c>
      <c r="J97" s="14">
        <f t="shared" si="1"/>
        <v>0</v>
      </c>
      <c r="K97" s="11"/>
    </row>
    <row r="98" spans="1:11" ht="16.5" customHeight="1">
      <c r="A98" s="11" t="s">
        <v>295</v>
      </c>
      <c r="B98" s="11" t="s">
        <v>175</v>
      </c>
      <c r="C98" s="11" t="s">
        <v>294</v>
      </c>
      <c r="D98" s="11" t="s">
        <v>173</v>
      </c>
      <c r="E98" s="11" t="s">
        <v>293</v>
      </c>
      <c r="F98" s="11" t="s">
        <v>323</v>
      </c>
      <c r="G98" s="11" t="s">
        <v>178</v>
      </c>
      <c r="H98" s="13">
        <v>45790</v>
      </c>
      <c r="I98" s="13">
        <v>45790</v>
      </c>
      <c r="J98" s="14">
        <f t="shared" si="1"/>
        <v>0</v>
      </c>
      <c r="K98" s="11"/>
    </row>
    <row r="99" spans="1:11" ht="16.5" customHeight="1">
      <c r="A99" s="11" t="s">
        <v>295</v>
      </c>
      <c r="B99" s="11" t="s">
        <v>175</v>
      </c>
      <c r="C99" s="11" t="s">
        <v>294</v>
      </c>
      <c r="D99" s="11" t="s">
        <v>173</v>
      </c>
      <c r="E99" s="11" t="s">
        <v>293</v>
      </c>
      <c r="F99" s="11" t="s">
        <v>322</v>
      </c>
      <c r="G99" s="11" t="s">
        <v>178</v>
      </c>
      <c r="H99" s="13">
        <v>45791</v>
      </c>
      <c r="I99" s="13">
        <v>45791</v>
      </c>
      <c r="J99" s="14">
        <f t="shared" si="1"/>
        <v>0</v>
      </c>
      <c r="K99" s="11" t="s">
        <v>321</v>
      </c>
    </row>
    <row r="100" spans="1:11" ht="16.5" customHeight="1">
      <c r="A100" s="11" t="s">
        <v>295</v>
      </c>
      <c r="B100" s="11" t="s">
        <v>175</v>
      </c>
      <c r="C100" s="11" t="s">
        <v>294</v>
      </c>
      <c r="D100" s="11" t="s">
        <v>173</v>
      </c>
      <c r="E100" s="11" t="s">
        <v>293</v>
      </c>
      <c r="F100" s="11" t="s">
        <v>320</v>
      </c>
      <c r="G100" s="11" t="s">
        <v>178</v>
      </c>
      <c r="H100" s="13">
        <v>45790</v>
      </c>
      <c r="I100" s="13">
        <v>45790</v>
      </c>
      <c r="J100" s="14">
        <f t="shared" si="1"/>
        <v>0</v>
      </c>
      <c r="K100" s="11"/>
    </row>
    <row r="101" spans="1:11" ht="16.5" customHeight="1">
      <c r="A101" s="11" t="s">
        <v>295</v>
      </c>
      <c r="B101" s="11" t="s">
        <v>175</v>
      </c>
      <c r="C101" s="11" t="s">
        <v>294</v>
      </c>
      <c r="D101" s="11" t="s">
        <v>173</v>
      </c>
      <c r="E101" s="11" t="s">
        <v>293</v>
      </c>
      <c r="F101" s="11" t="s">
        <v>319</v>
      </c>
      <c r="G101" s="11" t="s">
        <v>178</v>
      </c>
      <c r="H101" s="13">
        <v>45790</v>
      </c>
      <c r="I101" s="13">
        <v>45790</v>
      </c>
      <c r="J101" s="14">
        <f t="shared" si="1"/>
        <v>0</v>
      </c>
      <c r="K101" s="11"/>
    </row>
    <row r="102" spans="1:11" ht="16.5" customHeight="1">
      <c r="A102" s="11" t="s">
        <v>295</v>
      </c>
      <c r="B102" s="11" t="s">
        <v>175</v>
      </c>
      <c r="C102" s="11" t="s">
        <v>294</v>
      </c>
      <c r="D102" s="11" t="s">
        <v>173</v>
      </c>
      <c r="E102" s="11" t="s">
        <v>293</v>
      </c>
      <c r="F102" s="11" t="s">
        <v>318</v>
      </c>
      <c r="G102" s="11" t="s">
        <v>178</v>
      </c>
      <c r="H102" s="13">
        <v>45660</v>
      </c>
      <c r="I102" s="13">
        <v>45660</v>
      </c>
      <c r="J102" s="14">
        <f t="shared" si="1"/>
        <v>0</v>
      </c>
      <c r="K102" s="11" t="s">
        <v>317</v>
      </c>
    </row>
    <row r="103" spans="1:11" ht="16.5" customHeight="1">
      <c r="A103" s="11" t="s">
        <v>295</v>
      </c>
      <c r="B103" s="11" t="s">
        <v>175</v>
      </c>
      <c r="C103" s="11" t="s">
        <v>294</v>
      </c>
      <c r="D103" s="11" t="s">
        <v>173</v>
      </c>
      <c r="E103" s="11" t="s">
        <v>293</v>
      </c>
      <c r="F103" s="11" t="s">
        <v>316</v>
      </c>
      <c r="G103" s="11" t="s">
        <v>315</v>
      </c>
      <c r="H103" s="13">
        <v>45740</v>
      </c>
      <c r="I103" s="13">
        <v>45740</v>
      </c>
      <c r="J103" s="14">
        <f t="shared" si="1"/>
        <v>0</v>
      </c>
      <c r="K103" s="11"/>
    </row>
    <row r="147" spans="2:5" ht="16.5" customHeight="1">
      <c r="B147" s="137" t="s">
        <v>314</v>
      </c>
      <c r="C147" s="138"/>
      <c r="D147" s="138"/>
      <c r="E147" s="139"/>
    </row>
  </sheetData>
  <autoFilter ref="A1:K103" xr:uid="{518D651A-181A-4B80-83FC-B22F52DAF647}"/>
  <mergeCells count="1">
    <mergeCell ref="B147:E147"/>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70AFAE0-47C7-4EE6-99DB-55D2574A2D45}">
          <x14:formula1>
            <xm:f>'C:\Users\Daljeet\Downloads\[ABP_FY''26 Issues v2 (1).xlsx]List'!#REF!</xm:f>
          </x14:formula1>
          <xm:sqref>G17 G20 G1:G15 G25:G26 G29:G44 G47:G71 G73:G85 G87 G102:G103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3AED0-5933-4E24-B2CE-CEB4E87BEE72}">
  <dimension ref="A1:L151"/>
  <sheetViews>
    <sheetView workbookViewId="0">
      <pane xSplit="12" ySplit="1" topLeftCell="M3" activePane="bottomRight" state="frozen"/>
      <selection activeCell="M3" sqref="M3"/>
      <selection pane="topRight" activeCell="M3" sqref="M3"/>
      <selection pane="bottomLeft" activeCell="M3" sqref="M3"/>
      <selection pane="bottomRight" activeCell="C1" sqref="C1:C1048576"/>
    </sheetView>
  </sheetViews>
  <sheetFormatPr defaultRowHeight="14.5"/>
  <cols>
    <col min="1" max="1" width="11.453125" customWidth="1"/>
    <col min="4" max="4" width="11.81640625" customWidth="1"/>
    <col min="5" max="5" width="13.1796875" bestFit="1" customWidth="1"/>
    <col min="6" max="6" width="30.81640625" customWidth="1"/>
    <col min="7" max="7" width="24.26953125" customWidth="1"/>
    <col min="8" max="8" width="14.81640625" style="16" bestFit="1" customWidth="1"/>
    <col min="9" max="9" width="11.81640625" customWidth="1"/>
    <col min="10" max="10" width="11" customWidth="1"/>
    <col min="11" max="11" width="20.7265625" style="6" customWidth="1"/>
  </cols>
  <sheetData>
    <row r="1" spans="1:11">
      <c r="A1" s="61" t="s">
        <v>292</v>
      </c>
      <c r="B1" s="105" t="s">
        <v>291</v>
      </c>
      <c r="C1" s="105" t="s">
        <v>290</v>
      </c>
      <c r="D1" s="105" t="s">
        <v>289</v>
      </c>
      <c r="E1" s="105" t="s">
        <v>288</v>
      </c>
      <c r="F1" s="105" t="s">
        <v>287</v>
      </c>
      <c r="G1" s="104" t="s">
        <v>286</v>
      </c>
      <c r="H1" s="106" t="s">
        <v>313</v>
      </c>
      <c r="I1" s="105" t="s">
        <v>284</v>
      </c>
      <c r="J1" s="48" t="s">
        <v>283</v>
      </c>
      <c r="K1" s="107" t="s">
        <v>159</v>
      </c>
    </row>
    <row r="2" spans="1:11" ht="29">
      <c r="A2" s="76" t="s">
        <v>167</v>
      </c>
      <c r="B2" s="23" t="s">
        <v>247</v>
      </c>
      <c r="C2" s="23" t="s">
        <v>472</v>
      </c>
      <c r="D2" s="23" t="s">
        <v>173</v>
      </c>
      <c r="E2" s="23" t="s">
        <v>293</v>
      </c>
      <c r="F2" s="88" t="s">
        <v>473</v>
      </c>
      <c r="G2" s="88" t="s">
        <v>162</v>
      </c>
      <c r="H2" s="108">
        <v>45748</v>
      </c>
      <c r="I2" s="108">
        <v>45748</v>
      </c>
      <c r="J2" s="20">
        <f t="shared" ref="J2:J51" si="0">I2-H2</f>
        <v>0</v>
      </c>
      <c r="K2" s="23"/>
    </row>
    <row r="3" spans="1:11" s="11" customFormat="1" ht="59.25" customHeight="1">
      <c r="A3" s="76">
        <v>7691578</v>
      </c>
      <c r="B3" s="65" t="s">
        <v>425</v>
      </c>
      <c r="C3" s="65" t="s">
        <v>251</v>
      </c>
      <c r="D3" s="65" t="s">
        <v>398</v>
      </c>
      <c r="E3" s="83" t="s">
        <v>474</v>
      </c>
      <c r="F3" s="76" t="s">
        <v>475</v>
      </c>
      <c r="G3" s="65" t="s">
        <v>178</v>
      </c>
      <c r="H3" s="109">
        <v>45748</v>
      </c>
      <c r="I3" s="109">
        <v>45748</v>
      </c>
      <c r="J3" s="20">
        <f t="shared" si="0"/>
        <v>0</v>
      </c>
      <c r="K3" s="65" t="s">
        <v>476</v>
      </c>
    </row>
    <row r="4" spans="1:11" s="11" customFormat="1" ht="21.75" customHeight="1">
      <c r="A4" s="76">
        <v>7691387</v>
      </c>
      <c r="B4" s="65" t="s">
        <v>425</v>
      </c>
      <c r="C4" s="65" t="s">
        <v>251</v>
      </c>
      <c r="D4" s="65" t="s">
        <v>398</v>
      </c>
      <c r="E4" s="83" t="s">
        <v>464</v>
      </c>
      <c r="F4" s="76" t="s">
        <v>134</v>
      </c>
      <c r="G4" s="65" t="s">
        <v>178</v>
      </c>
      <c r="H4" s="81">
        <v>45748</v>
      </c>
      <c r="I4" s="81">
        <v>45748</v>
      </c>
      <c r="J4" s="20">
        <f t="shared" si="0"/>
        <v>0</v>
      </c>
      <c r="K4" s="62" t="s">
        <v>133</v>
      </c>
    </row>
    <row r="5" spans="1:11" s="11" customFormat="1" ht="87">
      <c r="A5" s="76" t="s">
        <v>167</v>
      </c>
      <c r="B5" s="65" t="s">
        <v>425</v>
      </c>
      <c r="C5" s="65" t="s">
        <v>251</v>
      </c>
      <c r="D5" s="65" t="s">
        <v>398</v>
      </c>
      <c r="E5" s="83" t="s">
        <v>464</v>
      </c>
      <c r="F5" s="76" t="s">
        <v>132</v>
      </c>
      <c r="G5" s="65" t="s">
        <v>178</v>
      </c>
      <c r="H5" s="81">
        <v>45748</v>
      </c>
      <c r="I5" s="81">
        <v>45748</v>
      </c>
      <c r="J5" s="20">
        <f t="shared" si="0"/>
        <v>0</v>
      </c>
      <c r="K5" s="62" t="s">
        <v>477</v>
      </c>
    </row>
    <row r="6" spans="1:11" s="11" customFormat="1" ht="58">
      <c r="A6" s="76" t="s">
        <v>167</v>
      </c>
      <c r="B6" s="65" t="s">
        <v>425</v>
      </c>
      <c r="C6" s="65" t="s">
        <v>251</v>
      </c>
      <c r="D6" s="65" t="s">
        <v>398</v>
      </c>
      <c r="E6" s="83" t="s">
        <v>464</v>
      </c>
      <c r="F6" s="76" t="s">
        <v>478</v>
      </c>
      <c r="G6" s="65" t="s">
        <v>178</v>
      </c>
      <c r="H6" s="81">
        <v>45748</v>
      </c>
      <c r="I6" s="81">
        <v>45748</v>
      </c>
      <c r="J6" s="20">
        <f t="shared" si="0"/>
        <v>0</v>
      </c>
      <c r="K6" s="62" t="s">
        <v>479</v>
      </c>
    </row>
    <row r="7" spans="1:11" ht="58">
      <c r="A7" s="76" t="s">
        <v>167</v>
      </c>
      <c r="B7" s="65" t="s">
        <v>425</v>
      </c>
      <c r="C7" s="65" t="s">
        <v>251</v>
      </c>
      <c r="D7" s="65" t="s">
        <v>398</v>
      </c>
      <c r="E7" s="83" t="s">
        <v>464</v>
      </c>
      <c r="F7" s="76" t="s">
        <v>480</v>
      </c>
      <c r="G7" s="65" t="s">
        <v>178</v>
      </c>
      <c r="H7" s="81">
        <v>45748</v>
      </c>
      <c r="I7" s="81">
        <v>45748</v>
      </c>
      <c r="J7" s="20">
        <f t="shared" si="0"/>
        <v>0</v>
      </c>
      <c r="K7" s="62" t="s">
        <v>481</v>
      </c>
    </row>
    <row r="8" spans="1:11" ht="101.5">
      <c r="A8" s="76" t="s">
        <v>167</v>
      </c>
      <c r="B8" s="65" t="s">
        <v>425</v>
      </c>
      <c r="C8" s="65" t="s">
        <v>251</v>
      </c>
      <c r="D8" s="65" t="s">
        <v>398</v>
      </c>
      <c r="E8" s="83" t="s">
        <v>464</v>
      </c>
      <c r="F8" s="76" t="s">
        <v>482</v>
      </c>
      <c r="G8" s="65" t="s">
        <v>178</v>
      </c>
      <c r="H8" s="81">
        <v>45748</v>
      </c>
      <c r="I8" s="81">
        <v>45748</v>
      </c>
      <c r="J8" s="20">
        <f t="shared" si="0"/>
        <v>0</v>
      </c>
      <c r="K8" s="62" t="s">
        <v>483</v>
      </c>
    </row>
    <row r="9" spans="1:11" ht="39.75" customHeight="1">
      <c r="A9" s="76" t="s">
        <v>167</v>
      </c>
      <c r="B9" s="23" t="s">
        <v>35</v>
      </c>
      <c r="C9" s="23" t="s">
        <v>484</v>
      </c>
      <c r="D9" s="23" t="s">
        <v>442</v>
      </c>
      <c r="E9" s="110" t="s">
        <v>485</v>
      </c>
      <c r="F9" s="23" t="s">
        <v>486</v>
      </c>
      <c r="G9" s="88" t="s">
        <v>170</v>
      </c>
      <c r="H9" s="49">
        <v>45748</v>
      </c>
      <c r="I9" s="49">
        <v>45748</v>
      </c>
      <c r="J9" s="20">
        <f t="shared" si="0"/>
        <v>0</v>
      </c>
      <c r="K9"/>
    </row>
    <row r="10" spans="1:11">
      <c r="A10" s="76" t="s">
        <v>167</v>
      </c>
      <c r="B10" s="23" t="s">
        <v>35</v>
      </c>
      <c r="C10" s="23" t="s">
        <v>487</v>
      </c>
      <c r="D10" s="23" t="s">
        <v>442</v>
      </c>
      <c r="E10" s="23" t="s">
        <v>488</v>
      </c>
      <c r="F10" s="23" t="s">
        <v>489</v>
      </c>
      <c r="G10" s="88" t="s">
        <v>162</v>
      </c>
      <c r="H10" s="49">
        <v>45751</v>
      </c>
      <c r="I10" s="49">
        <v>45752</v>
      </c>
      <c r="J10" s="20">
        <f t="shared" si="0"/>
        <v>1</v>
      </c>
      <c r="K10"/>
    </row>
    <row r="11" spans="1:11">
      <c r="A11" s="76" t="s">
        <v>167</v>
      </c>
      <c r="B11" s="23" t="s">
        <v>35</v>
      </c>
      <c r="C11" s="23" t="s">
        <v>484</v>
      </c>
      <c r="D11" s="23" t="s">
        <v>442</v>
      </c>
      <c r="E11" s="23" t="s">
        <v>490</v>
      </c>
      <c r="F11" s="18" t="s">
        <v>491</v>
      </c>
      <c r="G11" s="23" t="s">
        <v>178</v>
      </c>
      <c r="H11" s="49">
        <v>45754</v>
      </c>
      <c r="I11" s="49">
        <v>45754</v>
      </c>
      <c r="J11" s="20">
        <f t="shared" si="0"/>
        <v>0</v>
      </c>
      <c r="K11"/>
    </row>
    <row r="12" spans="1:11" ht="112.5">
      <c r="A12" s="76" t="s">
        <v>167</v>
      </c>
      <c r="B12" s="65" t="s">
        <v>425</v>
      </c>
      <c r="C12" s="65" t="s">
        <v>251</v>
      </c>
      <c r="D12" s="65" t="s">
        <v>398</v>
      </c>
      <c r="E12" s="83" t="s">
        <v>464</v>
      </c>
      <c r="F12" s="76" t="s">
        <v>131</v>
      </c>
      <c r="G12" s="65" t="s">
        <v>178</v>
      </c>
      <c r="H12" s="81">
        <v>45750</v>
      </c>
      <c r="I12" s="81">
        <v>45750</v>
      </c>
      <c r="J12" s="20">
        <f t="shared" si="0"/>
        <v>0</v>
      </c>
      <c r="K12" s="111" t="s">
        <v>492</v>
      </c>
    </row>
    <row r="13" spans="1:11" ht="43.5">
      <c r="A13" s="76" t="s">
        <v>167</v>
      </c>
      <c r="B13" s="65" t="s">
        <v>425</v>
      </c>
      <c r="C13" s="65" t="s">
        <v>251</v>
      </c>
      <c r="D13" s="65" t="s">
        <v>398</v>
      </c>
      <c r="E13" s="83" t="s">
        <v>464</v>
      </c>
      <c r="F13" s="17" t="s">
        <v>130</v>
      </c>
      <c r="G13" s="65" t="s">
        <v>178</v>
      </c>
      <c r="H13" s="81">
        <v>45771</v>
      </c>
      <c r="I13" s="81">
        <v>45771</v>
      </c>
      <c r="J13" s="20">
        <f t="shared" si="0"/>
        <v>0</v>
      </c>
      <c r="K13" s="112" t="s">
        <v>129</v>
      </c>
    </row>
    <row r="14" spans="1:11" ht="43.5">
      <c r="A14" s="76" t="s">
        <v>167</v>
      </c>
      <c r="B14" s="65" t="s">
        <v>425</v>
      </c>
      <c r="C14" s="65" t="s">
        <v>251</v>
      </c>
      <c r="D14" s="65" t="s">
        <v>398</v>
      </c>
      <c r="E14" s="83" t="s">
        <v>464</v>
      </c>
      <c r="F14" s="17" t="s">
        <v>128</v>
      </c>
      <c r="G14" s="65" t="s">
        <v>178</v>
      </c>
      <c r="H14" s="81">
        <v>45771</v>
      </c>
      <c r="I14" s="81">
        <v>45771</v>
      </c>
      <c r="J14" s="20">
        <f t="shared" si="0"/>
        <v>0</v>
      </c>
      <c r="K14" s="112" t="s">
        <v>493</v>
      </c>
    </row>
    <row r="15" spans="1:11" ht="29">
      <c r="A15" s="76" t="s">
        <v>167</v>
      </c>
      <c r="B15" s="65" t="s">
        <v>425</v>
      </c>
      <c r="C15" s="65" t="s">
        <v>251</v>
      </c>
      <c r="D15" s="65" t="s">
        <v>398</v>
      </c>
      <c r="E15" s="83" t="s">
        <v>464</v>
      </c>
      <c r="F15" s="17" t="s">
        <v>494</v>
      </c>
      <c r="G15" s="65" t="s">
        <v>178</v>
      </c>
      <c r="H15" s="81">
        <v>45771</v>
      </c>
      <c r="I15" s="81">
        <v>45771</v>
      </c>
      <c r="J15" s="20">
        <f t="shared" si="0"/>
        <v>0</v>
      </c>
      <c r="K15" s="112" t="s">
        <v>495</v>
      </c>
    </row>
    <row r="16" spans="1:11" ht="224.5">
      <c r="A16" s="76" t="s">
        <v>167</v>
      </c>
      <c r="B16" s="65" t="s">
        <v>425</v>
      </c>
      <c r="C16" s="65" t="s">
        <v>251</v>
      </c>
      <c r="D16" s="65" t="s">
        <v>398</v>
      </c>
      <c r="E16" s="83" t="s">
        <v>474</v>
      </c>
      <c r="F16" s="17" t="s">
        <v>496</v>
      </c>
      <c r="G16" s="65" t="s">
        <v>178</v>
      </c>
      <c r="H16" s="81">
        <v>45764</v>
      </c>
      <c r="I16" s="81">
        <v>45768</v>
      </c>
      <c r="J16" s="20">
        <f t="shared" si="0"/>
        <v>4</v>
      </c>
      <c r="K16" s="113" t="s">
        <v>497</v>
      </c>
    </row>
    <row r="17" spans="1:12" ht="246.5">
      <c r="A17" s="76" t="s">
        <v>167</v>
      </c>
      <c r="B17" s="65" t="s">
        <v>425</v>
      </c>
      <c r="C17" s="65" t="s">
        <v>251</v>
      </c>
      <c r="D17" s="65" t="s">
        <v>398</v>
      </c>
      <c r="E17" s="83" t="s">
        <v>474</v>
      </c>
      <c r="F17" s="17" t="s">
        <v>127</v>
      </c>
      <c r="G17" s="65" t="s">
        <v>178</v>
      </c>
      <c r="H17" s="81">
        <v>45776</v>
      </c>
      <c r="I17" s="81">
        <v>45776</v>
      </c>
      <c r="J17" s="20">
        <f t="shared" si="0"/>
        <v>0</v>
      </c>
      <c r="K17" s="112" t="s">
        <v>498</v>
      </c>
    </row>
    <row r="18" spans="1:12" ht="58">
      <c r="A18" s="76" t="s">
        <v>167</v>
      </c>
      <c r="B18" s="65" t="s">
        <v>425</v>
      </c>
      <c r="C18" s="65" t="s">
        <v>251</v>
      </c>
      <c r="D18" s="65" t="s">
        <v>398</v>
      </c>
      <c r="E18" s="83" t="s">
        <v>464</v>
      </c>
      <c r="F18" s="17" t="s">
        <v>499</v>
      </c>
      <c r="G18" s="65" t="s">
        <v>178</v>
      </c>
      <c r="H18" s="81">
        <v>45776</v>
      </c>
      <c r="I18" s="81">
        <v>45776</v>
      </c>
      <c r="J18" s="20">
        <f t="shared" si="0"/>
        <v>0</v>
      </c>
      <c r="K18" s="112" t="s">
        <v>500</v>
      </c>
    </row>
    <row r="19" spans="1:12" ht="58">
      <c r="A19" s="76" t="s">
        <v>167</v>
      </c>
      <c r="B19" s="65" t="s">
        <v>425</v>
      </c>
      <c r="C19" s="65" t="s">
        <v>251</v>
      </c>
      <c r="D19" s="65" t="s">
        <v>398</v>
      </c>
      <c r="E19" s="83" t="s">
        <v>464</v>
      </c>
      <c r="F19" s="17" t="s">
        <v>501</v>
      </c>
      <c r="G19" s="65" t="s">
        <v>178</v>
      </c>
      <c r="H19" s="81">
        <v>45776</v>
      </c>
      <c r="I19" s="81">
        <v>45776</v>
      </c>
      <c r="J19" s="20">
        <f t="shared" si="0"/>
        <v>0</v>
      </c>
      <c r="K19" s="112" t="s">
        <v>502</v>
      </c>
    </row>
    <row r="20" spans="1:12" ht="58">
      <c r="A20" s="76" t="s">
        <v>167</v>
      </c>
      <c r="B20" s="65" t="s">
        <v>425</v>
      </c>
      <c r="C20" s="65" t="s">
        <v>251</v>
      </c>
      <c r="D20" s="65" t="s">
        <v>398</v>
      </c>
      <c r="E20" s="83" t="s">
        <v>464</v>
      </c>
      <c r="F20" s="17" t="s">
        <v>503</v>
      </c>
      <c r="G20" s="65" t="s">
        <v>178</v>
      </c>
      <c r="H20" s="81">
        <v>45776</v>
      </c>
      <c r="I20" s="81">
        <v>45776</v>
      </c>
      <c r="J20" s="20">
        <f t="shared" si="0"/>
        <v>0</v>
      </c>
      <c r="K20" s="112" t="s">
        <v>504</v>
      </c>
    </row>
    <row r="21" spans="1:12" ht="87">
      <c r="A21" s="76" t="s">
        <v>167</v>
      </c>
      <c r="B21" s="65" t="s">
        <v>425</v>
      </c>
      <c r="C21" s="65" t="s">
        <v>251</v>
      </c>
      <c r="D21" s="65" t="s">
        <v>398</v>
      </c>
      <c r="E21" s="83" t="s">
        <v>464</v>
      </c>
      <c r="F21" s="17" t="s">
        <v>505</v>
      </c>
      <c r="G21" s="65" t="s">
        <v>178</v>
      </c>
      <c r="H21" s="81">
        <v>45776</v>
      </c>
      <c r="I21" s="81">
        <v>45776</v>
      </c>
      <c r="J21" s="20">
        <f t="shared" si="0"/>
        <v>0</v>
      </c>
      <c r="K21" s="112" t="s">
        <v>506</v>
      </c>
    </row>
    <row r="22" spans="1:12" ht="43.5">
      <c r="A22" s="76" t="s">
        <v>167</v>
      </c>
      <c r="B22" s="65" t="s">
        <v>425</v>
      </c>
      <c r="C22" s="65" t="s">
        <v>251</v>
      </c>
      <c r="D22" s="65" t="s">
        <v>398</v>
      </c>
      <c r="E22" s="83" t="s">
        <v>464</v>
      </c>
      <c r="F22" s="17" t="s">
        <v>507</v>
      </c>
      <c r="G22" s="65" t="s">
        <v>162</v>
      </c>
      <c r="H22" s="81">
        <v>45776</v>
      </c>
      <c r="I22" s="81">
        <v>45776</v>
      </c>
      <c r="J22" s="20">
        <f t="shared" si="0"/>
        <v>0</v>
      </c>
      <c r="K22" s="112" t="s">
        <v>508</v>
      </c>
    </row>
    <row r="23" spans="1:12" ht="72.5">
      <c r="A23" s="76" t="s">
        <v>167</v>
      </c>
      <c r="B23" s="65" t="s">
        <v>425</v>
      </c>
      <c r="C23" s="65" t="s">
        <v>251</v>
      </c>
      <c r="D23" s="65" t="s">
        <v>398</v>
      </c>
      <c r="E23" s="83" t="s">
        <v>464</v>
      </c>
      <c r="F23" s="17" t="s">
        <v>509</v>
      </c>
      <c r="G23" s="65" t="s">
        <v>178</v>
      </c>
      <c r="H23" s="81">
        <v>45776</v>
      </c>
      <c r="I23" s="81">
        <v>45776</v>
      </c>
      <c r="J23" s="20">
        <f t="shared" si="0"/>
        <v>0</v>
      </c>
      <c r="K23" s="112" t="s">
        <v>510</v>
      </c>
    </row>
    <row r="24" spans="1:12" ht="56.5">
      <c r="A24" s="76" t="s">
        <v>167</v>
      </c>
      <c r="B24" s="65" t="s">
        <v>425</v>
      </c>
      <c r="C24" s="65" t="s">
        <v>199</v>
      </c>
      <c r="D24" s="65" t="s">
        <v>398</v>
      </c>
      <c r="E24" s="83" t="s">
        <v>424</v>
      </c>
      <c r="F24" s="18" t="s">
        <v>120</v>
      </c>
      <c r="G24" s="65" t="s">
        <v>178</v>
      </c>
      <c r="H24" s="81">
        <v>45762</v>
      </c>
      <c r="I24" s="81">
        <v>45762</v>
      </c>
      <c r="J24" s="20">
        <f t="shared" si="0"/>
        <v>0</v>
      </c>
      <c r="K24" s="113" t="s">
        <v>511</v>
      </c>
    </row>
    <row r="25" spans="1:12" ht="98.5">
      <c r="A25" s="76" t="s">
        <v>167</v>
      </c>
      <c r="B25" s="65" t="s">
        <v>425</v>
      </c>
      <c r="C25" s="65" t="s">
        <v>199</v>
      </c>
      <c r="D25" s="65" t="s">
        <v>398</v>
      </c>
      <c r="E25" s="83" t="s">
        <v>424</v>
      </c>
      <c r="F25" s="18" t="s">
        <v>512</v>
      </c>
      <c r="G25" s="65" t="s">
        <v>178</v>
      </c>
      <c r="H25" s="81">
        <v>45763</v>
      </c>
      <c r="I25" s="81">
        <v>45763</v>
      </c>
      <c r="J25" s="20">
        <f t="shared" si="0"/>
        <v>0</v>
      </c>
      <c r="K25" s="113" t="s">
        <v>513</v>
      </c>
    </row>
    <row r="26" spans="1:12" ht="42.5">
      <c r="A26" s="76" t="s">
        <v>167</v>
      </c>
      <c r="B26" s="65" t="s">
        <v>425</v>
      </c>
      <c r="C26" s="65" t="s">
        <v>199</v>
      </c>
      <c r="D26" s="65" t="s">
        <v>398</v>
      </c>
      <c r="E26" s="83" t="s">
        <v>424</v>
      </c>
      <c r="F26" t="s">
        <v>514</v>
      </c>
      <c r="G26" s="65" t="s">
        <v>162</v>
      </c>
      <c r="H26" s="81">
        <v>45768</v>
      </c>
      <c r="I26" s="81">
        <v>45768</v>
      </c>
      <c r="J26" s="20">
        <f t="shared" si="0"/>
        <v>0</v>
      </c>
      <c r="K26" s="113" t="s">
        <v>515</v>
      </c>
    </row>
    <row r="27" spans="1:12" ht="98.5">
      <c r="A27" s="76" t="s">
        <v>167</v>
      </c>
      <c r="B27" s="65" t="s">
        <v>425</v>
      </c>
      <c r="C27" s="65" t="s">
        <v>199</v>
      </c>
      <c r="D27" s="65" t="s">
        <v>398</v>
      </c>
      <c r="E27" s="83" t="s">
        <v>424</v>
      </c>
      <c r="F27" t="s">
        <v>83</v>
      </c>
      <c r="G27" s="65" t="s">
        <v>190</v>
      </c>
      <c r="H27" s="81">
        <v>45771</v>
      </c>
      <c r="I27" s="81">
        <v>45771</v>
      </c>
      <c r="J27" s="20">
        <f t="shared" si="0"/>
        <v>0</v>
      </c>
      <c r="K27" s="113" t="s">
        <v>516</v>
      </c>
    </row>
    <row r="28" spans="1:12" ht="42.5">
      <c r="A28" s="76" t="s">
        <v>167</v>
      </c>
      <c r="B28" s="65" t="s">
        <v>425</v>
      </c>
      <c r="C28" s="65" t="s">
        <v>199</v>
      </c>
      <c r="D28" s="65" t="s">
        <v>398</v>
      </c>
      <c r="E28" s="83" t="s">
        <v>424</v>
      </c>
      <c r="F28" t="s">
        <v>42</v>
      </c>
      <c r="G28" s="65" t="s">
        <v>162</v>
      </c>
      <c r="H28" s="81">
        <v>45776</v>
      </c>
      <c r="I28" s="81">
        <v>45776</v>
      </c>
      <c r="J28" s="20">
        <f t="shared" si="0"/>
        <v>0</v>
      </c>
      <c r="K28" s="113" t="s">
        <v>517</v>
      </c>
    </row>
    <row r="29" spans="1:12" ht="42.5">
      <c r="A29" s="37">
        <v>7799679</v>
      </c>
      <c r="B29" s="65" t="s">
        <v>425</v>
      </c>
      <c r="C29" s="65" t="s">
        <v>199</v>
      </c>
      <c r="D29" s="65" t="s">
        <v>398</v>
      </c>
      <c r="E29" s="83" t="s">
        <v>424</v>
      </c>
      <c r="F29" s="36" t="s">
        <v>118</v>
      </c>
      <c r="G29" s="65" t="s">
        <v>178</v>
      </c>
      <c r="H29" s="81">
        <v>45776</v>
      </c>
      <c r="I29" s="81">
        <v>45776</v>
      </c>
      <c r="J29" s="20">
        <f t="shared" si="0"/>
        <v>0</v>
      </c>
      <c r="K29" s="113" t="s">
        <v>518</v>
      </c>
    </row>
    <row r="30" spans="1:12" ht="84.5">
      <c r="A30" s="37">
        <v>7805827</v>
      </c>
      <c r="B30" s="65" t="s">
        <v>425</v>
      </c>
      <c r="C30" s="65" t="s">
        <v>199</v>
      </c>
      <c r="D30" s="65" t="s">
        <v>398</v>
      </c>
      <c r="E30" s="83" t="s">
        <v>424</v>
      </c>
      <c r="F30" s="36" t="s">
        <v>119</v>
      </c>
      <c r="G30" s="65" t="s">
        <v>178</v>
      </c>
      <c r="H30" s="81">
        <v>45777</v>
      </c>
      <c r="I30" s="81">
        <v>45777</v>
      </c>
      <c r="J30" s="20">
        <f t="shared" si="0"/>
        <v>0</v>
      </c>
      <c r="K30" s="113" t="s">
        <v>519</v>
      </c>
    </row>
    <row r="31" spans="1:12" ht="84.5">
      <c r="A31" s="76" t="s">
        <v>167</v>
      </c>
      <c r="B31" s="95" t="s">
        <v>425</v>
      </c>
      <c r="C31" s="95" t="s">
        <v>199</v>
      </c>
      <c r="D31" s="95" t="s">
        <v>398</v>
      </c>
      <c r="E31" s="114" t="s">
        <v>424</v>
      </c>
      <c r="F31" t="s">
        <v>520</v>
      </c>
      <c r="G31" s="95" t="s">
        <v>190</v>
      </c>
      <c r="H31" s="94">
        <v>45777</v>
      </c>
      <c r="I31" s="94">
        <v>45777</v>
      </c>
      <c r="J31" s="85">
        <f t="shared" si="0"/>
        <v>0</v>
      </c>
      <c r="K31" s="113" t="s">
        <v>521</v>
      </c>
    </row>
    <row r="32" spans="1:12" ht="84.5">
      <c r="A32" s="76" t="s">
        <v>167</v>
      </c>
      <c r="B32" s="65" t="s">
        <v>425</v>
      </c>
      <c r="C32" s="65" t="s">
        <v>199</v>
      </c>
      <c r="D32" s="65" t="s">
        <v>398</v>
      </c>
      <c r="E32" s="83" t="s">
        <v>424</v>
      </c>
      <c r="F32" s="23" t="s">
        <v>82</v>
      </c>
      <c r="G32" s="65" t="s">
        <v>190</v>
      </c>
      <c r="H32" s="81">
        <v>45777</v>
      </c>
      <c r="I32" s="81">
        <v>45777</v>
      </c>
      <c r="J32" s="20">
        <f t="shared" si="0"/>
        <v>0</v>
      </c>
      <c r="K32" s="80" t="s">
        <v>521</v>
      </c>
      <c r="L32" s="23"/>
    </row>
    <row r="33" spans="1:12" ht="28.5">
      <c r="A33" s="76" t="s">
        <v>167</v>
      </c>
      <c r="B33" s="65" t="s">
        <v>425</v>
      </c>
      <c r="C33" s="65" t="s">
        <v>276</v>
      </c>
      <c r="D33" s="65" t="s">
        <v>398</v>
      </c>
      <c r="E33" s="83" t="s">
        <v>426</v>
      </c>
      <c r="F33" s="82" t="s">
        <v>116</v>
      </c>
      <c r="G33" s="65" t="s">
        <v>178</v>
      </c>
      <c r="H33" s="84">
        <v>45758</v>
      </c>
      <c r="I33" s="84">
        <v>45758</v>
      </c>
      <c r="J33" s="20">
        <f t="shared" si="0"/>
        <v>0</v>
      </c>
      <c r="K33" s="80" t="s">
        <v>115</v>
      </c>
      <c r="L33" s="23"/>
    </row>
    <row r="34" spans="1:12" ht="28.5">
      <c r="A34" s="76" t="s">
        <v>167</v>
      </c>
      <c r="B34" s="65" t="s">
        <v>425</v>
      </c>
      <c r="C34" s="65" t="s">
        <v>276</v>
      </c>
      <c r="D34" s="65" t="s">
        <v>398</v>
      </c>
      <c r="E34" s="83" t="s">
        <v>426</v>
      </c>
      <c r="F34" s="82" t="s">
        <v>114</v>
      </c>
      <c r="G34" s="65" t="s">
        <v>178</v>
      </c>
      <c r="H34" s="84">
        <v>45765</v>
      </c>
      <c r="I34" s="84">
        <v>45765</v>
      </c>
      <c r="J34" s="20">
        <f t="shared" si="0"/>
        <v>0</v>
      </c>
      <c r="K34" s="80" t="s">
        <v>522</v>
      </c>
      <c r="L34" s="23"/>
    </row>
    <row r="35" spans="1:12" ht="28.5">
      <c r="A35" s="76" t="s">
        <v>167</v>
      </c>
      <c r="B35" s="65" t="s">
        <v>425</v>
      </c>
      <c r="C35" s="65" t="s">
        <v>276</v>
      </c>
      <c r="D35" s="65" t="s">
        <v>398</v>
      </c>
      <c r="E35" s="83" t="s">
        <v>426</v>
      </c>
      <c r="F35" s="82" t="s">
        <v>112</v>
      </c>
      <c r="G35" s="65" t="s">
        <v>178</v>
      </c>
      <c r="H35" s="84">
        <v>45765</v>
      </c>
      <c r="I35" s="84">
        <v>45765</v>
      </c>
      <c r="J35" s="20">
        <f t="shared" si="0"/>
        <v>0</v>
      </c>
      <c r="K35" s="80" t="s">
        <v>523</v>
      </c>
      <c r="L35" s="23"/>
    </row>
    <row r="36" spans="1:12" ht="28.5">
      <c r="A36" s="76" t="s">
        <v>167</v>
      </c>
      <c r="B36" s="65" t="s">
        <v>425</v>
      </c>
      <c r="C36" s="65" t="s">
        <v>276</v>
      </c>
      <c r="D36" s="65" t="s">
        <v>398</v>
      </c>
      <c r="E36" s="83" t="s">
        <v>426</v>
      </c>
      <c r="F36" s="82" t="s">
        <v>117</v>
      </c>
      <c r="G36" s="65" t="s">
        <v>178</v>
      </c>
      <c r="H36" s="84">
        <v>45758</v>
      </c>
      <c r="I36" s="84">
        <v>45758</v>
      </c>
      <c r="J36" s="20">
        <f t="shared" si="0"/>
        <v>0</v>
      </c>
      <c r="K36" s="80" t="s">
        <v>115</v>
      </c>
      <c r="L36" s="23"/>
    </row>
    <row r="37" spans="1:12" ht="28.5">
      <c r="A37" s="76" t="s">
        <v>167</v>
      </c>
      <c r="B37" s="65" t="s">
        <v>425</v>
      </c>
      <c r="C37" s="65" t="s">
        <v>276</v>
      </c>
      <c r="D37" s="65" t="s">
        <v>398</v>
      </c>
      <c r="E37" s="83" t="s">
        <v>426</v>
      </c>
      <c r="F37" s="82" t="s">
        <v>116</v>
      </c>
      <c r="G37" s="65" t="s">
        <v>178</v>
      </c>
      <c r="H37" s="84">
        <v>45758</v>
      </c>
      <c r="I37" s="84">
        <v>45758</v>
      </c>
      <c r="J37" s="20">
        <f t="shared" si="0"/>
        <v>0</v>
      </c>
      <c r="K37" s="80" t="s">
        <v>115</v>
      </c>
      <c r="L37" s="23"/>
    </row>
    <row r="38" spans="1:12" ht="56.5">
      <c r="A38" s="76" t="s">
        <v>167</v>
      </c>
      <c r="B38" s="65" t="s">
        <v>425</v>
      </c>
      <c r="C38" s="65" t="s">
        <v>276</v>
      </c>
      <c r="D38" s="65" t="s">
        <v>398</v>
      </c>
      <c r="E38" s="83" t="s">
        <v>426</v>
      </c>
      <c r="F38" s="18" t="s">
        <v>114</v>
      </c>
      <c r="G38" s="65" t="s">
        <v>178</v>
      </c>
      <c r="H38" s="81">
        <v>45765</v>
      </c>
      <c r="I38" s="81">
        <v>45765</v>
      </c>
      <c r="J38" s="20">
        <f t="shared" si="0"/>
        <v>0</v>
      </c>
      <c r="K38" s="113" t="s">
        <v>113</v>
      </c>
      <c r="L38" s="23"/>
    </row>
    <row r="39" spans="1:12" ht="42.5">
      <c r="A39" s="76" t="s">
        <v>167</v>
      </c>
      <c r="B39" s="65" t="s">
        <v>425</v>
      </c>
      <c r="C39" s="65" t="s">
        <v>276</v>
      </c>
      <c r="D39" s="65" t="s">
        <v>398</v>
      </c>
      <c r="E39" s="83" t="s">
        <v>426</v>
      </c>
      <c r="F39" s="18" t="s">
        <v>112</v>
      </c>
      <c r="G39" s="65" t="s">
        <v>178</v>
      </c>
      <c r="H39" s="81">
        <v>45765</v>
      </c>
      <c r="I39" s="81">
        <v>45765</v>
      </c>
      <c r="J39" s="20">
        <f t="shared" si="0"/>
        <v>0</v>
      </c>
      <c r="K39" s="113" t="s">
        <v>111</v>
      </c>
      <c r="L39" s="23"/>
    </row>
    <row r="40" spans="1:12" ht="42.5">
      <c r="A40" s="76" t="s">
        <v>167</v>
      </c>
      <c r="B40" s="65" t="s">
        <v>425</v>
      </c>
      <c r="C40" s="65" t="s">
        <v>276</v>
      </c>
      <c r="D40" s="65" t="s">
        <v>398</v>
      </c>
      <c r="E40" s="83" t="s">
        <v>426</v>
      </c>
      <c r="F40" s="23" t="s">
        <v>63</v>
      </c>
      <c r="G40" s="65" t="s">
        <v>168</v>
      </c>
      <c r="H40" s="81">
        <v>45765</v>
      </c>
      <c r="I40" s="81">
        <v>45765</v>
      </c>
      <c r="J40" s="20">
        <f t="shared" si="0"/>
        <v>0</v>
      </c>
      <c r="K40" s="80" t="s">
        <v>62</v>
      </c>
      <c r="L40" s="23"/>
    </row>
    <row r="41" spans="1:12" ht="28.5">
      <c r="A41" s="76" t="s">
        <v>167</v>
      </c>
      <c r="B41" s="95" t="s">
        <v>425</v>
      </c>
      <c r="C41" s="65" t="s">
        <v>276</v>
      </c>
      <c r="D41" s="95" t="s">
        <v>398</v>
      </c>
      <c r="E41" s="114" t="s">
        <v>426</v>
      </c>
      <c r="F41" s="115" t="s">
        <v>524</v>
      </c>
      <c r="G41" s="95" t="s">
        <v>190</v>
      </c>
      <c r="H41" s="94">
        <v>45769</v>
      </c>
      <c r="I41" s="94">
        <v>45769</v>
      </c>
      <c r="J41" s="85">
        <f t="shared" si="0"/>
        <v>0</v>
      </c>
      <c r="K41" s="116" t="s">
        <v>525</v>
      </c>
      <c r="L41" s="23"/>
    </row>
    <row r="42" spans="1:12" ht="168.5">
      <c r="A42" s="76" t="s">
        <v>167</v>
      </c>
      <c r="B42" s="65" t="s">
        <v>425</v>
      </c>
      <c r="C42" s="65" t="s">
        <v>276</v>
      </c>
      <c r="D42" s="65" t="s">
        <v>398</v>
      </c>
      <c r="E42" s="83" t="s">
        <v>426</v>
      </c>
      <c r="F42" s="23" t="s">
        <v>526</v>
      </c>
      <c r="G42" s="65" t="s">
        <v>168</v>
      </c>
      <c r="H42" s="81">
        <v>45775</v>
      </c>
      <c r="I42" s="81">
        <v>45775</v>
      </c>
      <c r="J42" s="20">
        <f t="shared" si="0"/>
        <v>0</v>
      </c>
      <c r="K42" s="80" t="s">
        <v>527</v>
      </c>
      <c r="L42" s="58"/>
    </row>
    <row r="43" spans="1:12">
      <c r="A43" s="76" t="s">
        <v>167</v>
      </c>
      <c r="B43" s="23" t="s">
        <v>420</v>
      </c>
      <c r="C43" s="23" t="s">
        <v>276</v>
      </c>
      <c r="D43" s="23" t="s">
        <v>419</v>
      </c>
      <c r="E43" s="83" t="s">
        <v>528</v>
      </c>
      <c r="F43" s="23" t="s">
        <v>529</v>
      </c>
      <c r="G43" s="65" t="s">
        <v>178</v>
      </c>
      <c r="H43" s="81">
        <v>45751</v>
      </c>
      <c r="I43" s="81">
        <v>45751</v>
      </c>
      <c r="J43" s="20">
        <f t="shared" si="0"/>
        <v>0</v>
      </c>
      <c r="K43" s="80"/>
    </row>
    <row r="44" spans="1:12">
      <c r="A44" s="76" t="s">
        <v>167</v>
      </c>
      <c r="B44" s="23" t="s">
        <v>420</v>
      </c>
      <c r="C44" s="23" t="s">
        <v>276</v>
      </c>
      <c r="D44" s="23" t="s">
        <v>419</v>
      </c>
      <c r="E44" s="23" t="s">
        <v>418</v>
      </c>
      <c r="F44" s="117" t="s">
        <v>530</v>
      </c>
      <c r="G44" s="115" t="s">
        <v>190</v>
      </c>
      <c r="H44" s="118">
        <v>45755</v>
      </c>
      <c r="I44" s="119">
        <v>45756</v>
      </c>
      <c r="J44" s="85">
        <f t="shared" si="0"/>
        <v>1</v>
      </c>
      <c r="K44" s="120"/>
    </row>
    <row r="45" spans="1:12">
      <c r="A45" s="76" t="s">
        <v>167</v>
      </c>
      <c r="B45" s="23" t="s">
        <v>420</v>
      </c>
      <c r="C45" s="23" t="s">
        <v>199</v>
      </c>
      <c r="D45" s="23" t="s">
        <v>419</v>
      </c>
      <c r="E45" s="23" t="s">
        <v>422</v>
      </c>
      <c r="F45" s="121" t="s">
        <v>531</v>
      </c>
      <c r="G45" s="65" t="s">
        <v>168</v>
      </c>
      <c r="H45" s="53">
        <v>45756</v>
      </c>
      <c r="I45" s="53">
        <v>45757</v>
      </c>
      <c r="J45" s="20">
        <f t="shared" si="0"/>
        <v>1</v>
      </c>
      <c r="K45" s="88"/>
    </row>
    <row r="46" spans="1:12" ht="29">
      <c r="A46" s="76" t="s">
        <v>167</v>
      </c>
      <c r="B46" s="23" t="s">
        <v>420</v>
      </c>
      <c r="C46" s="23" t="s">
        <v>276</v>
      </c>
      <c r="D46" s="23" t="s">
        <v>419</v>
      </c>
      <c r="E46" s="23" t="s">
        <v>418</v>
      </c>
      <c r="F46" s="122" t="s">
        <v>532</v>
      </c>
      <c r="G46" s="65" t="s">
        <v>168</v>
      </c>
      <c r="H46" s="53">
        <v>45771</v>
      </c>
      <c r="I46" s="53">
        <v>45771</v>
      </c>
      <c r="J46" s="20">
        <f t="shared" si="0"/>
        <v>0</v>
      </c>
      <c r="K46" s="88" t="s">
        <v>533</v>
      </c>
    </row>
    <row r="47" spans="1:12">
      <c r="A47" s="76" t="s">
        <v>167</v>
      </c>
      <c r="B47" s="23" t="s">
        <v>420</v>
      </c>
      <c r="C47" s="23" t="s">
        <v>251</v>
      </c>
      <c r="D47" s="23" t="s">
        <v>419</v>
      </c>
      <c r="E47" s="23" t="s">
        <v>534</v>
      </c>
      <c r="F47" s="123" t="s">
        <v>535</v>
      </c>
      <c r="G47" s="65" t="s">
        <v>178</v>
      </c>
      <c r="H47" s="49">
        <v>45775</v>
      </c>
      <c r="I47" s="53">
        <v>45776</v>
      </c>
      <c r="J47" s="20">
        <f t="shared" si="0"/>
        <v>1</v>
      </c>
      <c r="K47" s="88"/>
    </row>
    <row r="48" spans="1:12" ht="29">
      <c r="A48" s="76" t="s">
        <v>167</v>
      </c>
      <c r="B48" s="51" t="s">
        <v>35</v>
      </c>
      <c r="C48" s="51" t="s">
        <v>484</v>
      </c>
      <c r="D48" s="51" t="s">
        <v>442</v>
      </c>
      <c r="E48" s="110" t="s">
        <v>490</v>
      </c>
      <c r="F48" s="18" t="s">
        <v>536</v>
      </c>
      <c r="G48" s="78" t="s">
        <v>168</v>
      </c>
      <c r="H48" s="16">
        <v>45749</v>
      </c>
      <c r="I48" s="16">
        <v>45749</v>
      </c>
      <c r="J48" s="77">
        <f t="shared" si="0"/>
        <v>0</v>
      </c>
      <c r="K48" s="6" t="s">
        <v>537</v>
      </c>
    </row>
    <row r="49" spans="1:11" ht="42.5">
      <c r="A49" s="76" t="s">
        <v>167</v>
      </c>
      <c r="B49" s="23" t="s">
        <v>35</v>
      </c>
      <c r="C49" s="23" t="s">
        <v>484</v>
      </c>
      <c r="D49" s="23" t="s">
        <v>442</v>
      </c>
      <c r="E49" s="110" t="s">
        <v>490</v>
      </c>
      <c r="F49" s="113" t="s">
        <v>64</v>
      </c>
      <c r="G49" s="65" t="s">
        <v>168</v>
      </c>
      <c r="H49" s="16">
        <v>45749</v>
      </c>
      <c r="I49" s="16">
        <v>45749</v>
      </c>
      <c r="J49" s="20">
        <f t="shared" si="0"/>
        <v>0</v>
      </c>
      <c r="K49" s="6" t="s">
        <v>537</v>
      </c>
    </row>
    <row r="50" spans="1:11">
      <c r="A50" s="76" t="s">
        <v>167</v>
      </c>
      <c r="B50" s="23" t="s">
        <v>35</v>
      </c>
      <c r="C50" s="23" t="s">
        <v>538</v>
      </c>
      <c r="D50" s="23" t="s">
        <v>442</v>
      </c>
      <c r="E50" s="110" t="s">
        <v>539</v>
      </c>
      <c r="F50" t="s">
        <v>540</v>
      </c>
      <c r="G50" s="65" t="s">
        <v>178</v>
      </c>
      <c r="H50" s="16">
        <v>45777</v>
      </c>
      <c r="I50" s="16">
        <v>45777</v>
      </c>
      <c r="J50" s="20">
        <f t="shared" si="0"/>
        <v>0</v>
      </c>
    </row>
    <row r="51" spans="1:11">
      <c r="A51" s="76" t="s">
        <v>167</v>
      </c>
      <c r="B51" s="23" t="s">
        <v>35</v>
      </c>
      <c r="C51" s="23" t="s">
        <v>484</v>
      </c>
      <c r="D51" s="23" t="s">
        <v>442</v>
      </c>
      <c r="E51" s="110" t="s">
        <v>539</v>
      </c>
      <c r="F51" t="s">
        <v>541</v>
      </c>
      <c r="G51" s="65" t="s">
        <v>162</v>
      </c>
      <c r="H51" s="16">
        <v>45765</v>
      </c>
      <c r="I51" s="16">
        <v>45765</v>
      </c>
      <c r="J51" s="20">
        <f t="shared" si="0"/>
        <v>0</v>
      </c>
    </row>
    <row r="52" spans="1:11">
      <c r="A52" s="37">
        <v>7691075</v>
      </c>
      <c r="B52" s="36" t="s">
        <v>6</v>
      </c>
      <c r="C52" t="s">
        <v>251</v>
      </c>
      <c r="D52" s="36" t="s">
        <v>305</v>
      </c>
      <c r="E52" s="36" t="s">
        <v>305</v>
      </c>
      <c r="F52" s="36" t="s">
        <v>542</v>
      </c>
      <c r="G52" s="65" t="s">
        <v>162</v>
      </c>
      <c r="H52" s="124">
        <v>45661.556944444441</v>
      </c>
      <c r="I52" s="124">
        <v>45751.491666666669</v>
      </c>
      <c r="J52" s="36">
        <v>2.9</v>
      </c>
    </row>
    <row r="53" spans="1:11" ht="29">
      <c r="A53" s="37">
        <v>7795913</v>
      </c>
      <c r="B53" s="36" t="s">
        <v>55</v>
      </c>
      <c r="C53" s="36" t="s">
        <v>55</v>
      </c>
      <c r="D53" t="s">
        <v>398</v>
      </c>
      <c r="E53" s="36" t="s">
        <v>310</v>
      </c>
      <c r="F53" s="36" t="s">
        <v>543</v>
      </c>
      <c r="G53" s="65" t="s">
        <v>168</v>
      </c>
      <c r="H53" s="81">
        <v>45775</v>
      </c>
      <c r="I53" s="81">
        <v>45775</v>
      </c>
      <c r="J53" s="36">
        <v>0</v>
      </c>
      <c r="K53" s="62" t="s">
        <v>364</v>
      </c>
    </row>
    <row r="54" spans="1:11" ht="29">
      <c r="A54" s="37">
        <v>7795914</v>
      </c>
      <c r="B54" s="36" t="s">
        <v>55</v>
      </c>
      <c r="C54" s="36" t="s">
        <v>55</v>
      </c>
      <c r="D54" t="s">
        <v>398</v>
      </c>
      <c r="E54" s="36" t="s">
        <v>310</v>
      </c>
      <c r="F54" s="36" t="s">
        <v>543</v>
      </c>
      <c r="G54" s="65" t="s">
        <v>168</v>
      </c>
      <c r="H54" s="81">
        <v>45775</v>
      </c>
      <c r="I54" s="81">
        <v>45776</v>
      </c>
      <c r="J54" s="36">
        <v>0.8</v>
      </c>
      <c r="K54" s="62" t="s">
        <v>364</v>
      </c>
    </row>
    <row r="55" spans="1:11" ht="29">
      <c r="A55" s="37">
        <v>7795917</v>
      </c>
      <c r="B55" s="36" t="s">
        <v>55</v>
      </c>
      <c r="C55" s="36" t="s">
        <v>55</v>
      </c>
      <c r="D55" t="s">
        <v>398</v>
      </c>
      <c r="E55" s="36" t="s">
        <v>310</v>
      </c>
      <c r="F55" s="36" t="s">
        <v>543</v>
      </c>
      <c r="G55" s="65" t="s">
        <v>168</v>
      </c>
      <c r="H55" s="81">
        <v>45775</v>
      </c>
      <c r="I55" s="81">
        <v>45776</v>
      </c>
      <c r="J55" s="36">
        <v>0.8</v>
      </c>
      <c r="K55" s="62" t="s">
        <v>364</v>
      </c>
    </row>
    <row r="56" spans="1:11" ht="29">
      <c r="A56" s="37">
        <v>7795930</v>
      </c>
      <c r="B56" s="36" t="s">
        <v>55</v>
      </c>
      <c r="C56" s="36" t="s">
        <v>55</v>
      </c>
      <c r="D56" t="s">
        <v>398</v>
      </c>
      <c r="E56" s="36" t="s">
        <v>310</v>
      </c>
      <c r="F56" s="36" t="s">
        <v>543</v>
      </c>
      <c r="G56" s="65" t="s">
        <v>168</v>
      </c>
      <c r="H56" s="81">
        <v>45775</v>
      </c>
      <c r="I56" s="81">
        <v>45776</v>
      </c>
      <c r="J56" s="36">
        <v>0.8</v>
      </c>
      <c r="K56" s="62" t="s">
        <v>364</v>
      </c>
    </row>
    <row r="57" spans="1:11" ht="29">
      <c r="A57" s="37">
        <v>7795944</v>
      </c>
      <c r="B57" s="36" t="s">
        <v>55</v>
      </c>
      <c r="C57" s="36" t="s">
        <v>55</v>
      </c>
      <c r="D57" t="s">
        <v>398</v>
      </c>
      <c r="E57" s="36" t="s">
        <v>310</v>
      </c>
      <c r="F57" s="36" t="s">
        <v>544</v>
      </c>
      <c r="G57" s="65" t="s">
        <v>168</v>
      </c>
      <c r="H57" s="81">
        <v>45775</v>
      </c>
      <c r="I57" s="81">
        <v>45776</v>
      </c>
      <c r="J57" s="36">
        <v>0.8</v>
      </c>
      <c r="K57" s="62" t="s">
        <v>364</v>
      </c>
    </row>
    <row r="58" spans="1:11" ht="29">
      <c r="A58" s="37">
        <v>7795969</v>
      </c>
      <c r="B58" s="36" t="s">
        <v>55</v>
      </c>
      <c r="C58" s="36" t="s">
        <v>55</v>
      </c>
      <c r="D58" t="s">
        <v>398</v>
      </c>
      <c r="E58" s="36" t="s">
        <v>310</v>
      </c>
      <c r="F58" s="36" t="s">
        <v>544</v>
      </c>
      <c r="G58" s="65" t="s">
        <v>168</v>
      </c>
      <c r="H58" s="81">
        <v>45775</v>
      </c>
      <c r="I58" s="81">
        <v>45776</v>
      </c>
      <c r="J58" s="36">
        <v>0.8</v>
      </c>
      <c r="K58" s="62" t="s">
        <v>364</v>
      </c>
    </row>
    <row r="59" spans="1:11" ht="29">
      <c r="A59" s="37">
        <v>7795980</v>
      </c>
      <c r="B59" s="36" t="s">
        <v>55</v>
      </c>
      <c r="C59" s="36" t="s">
        <v>55</v>
      </c>
      <c r="D59" t="s">
        <v>398</v>
      </c>
      <c r="E59" s="36" t="s">
        <v>310</v>
      </c>
      <c r="F59" s="36" t="s">
        <v>545</v>
      </c>
      <c r="G59" s="65" t="s">
        <v>168</v>
      </c>
      <c r="H59" s="81">
        <v>45775</v>
      </c>
      <c r="I59" s="81">
        <v>45776</v>
      </c>
      <c r="J59" s="36">
        <v>0.8</v>
      </c>
      <c r="K59" s="62" t="s">
        <v>364</v>
      </c>
    </row>
    <row r="60" spans="1:11" ht="29">
      <c r="A60" s="37">
        <v>7795986</v>
      </c>
      <c r="B60" s="36" t="s">
        <v>55</v>
      </c>
      <c r="C60" s="36" t="s">
        <v>55</v>
      </c>
      <c r="D60" t="s">
        <v>398</v>
      </c>
      <c r="E60" s="36" t="s">
        <v>310</v>
      </c>
      <c r="F60" s="36" t="s">
        <v>544</v>
      </c>
      <c r="G60" s="65" t="s">
        <v>168</v>
      </c>
      <c r="H60" s="81">
        <v>45775</v>
      </c>
      <c r="I60" s="81">
        <v>45775</v>
      </c>
      <c r="J60" s="36">
        <v>0</v>
      </c>
      <c r="K60" s="62" t="s">
        <v>364</v>
      </c>
    </row>
    <row r="61" spans="1:11" ht="29">
      <c r="A61" s="37">
        <v>7795991</v>
      </c>
      <c r="B61" s="36" t="s">
        <v>55</v>
      </c>
      <c r="C61" s="36" t="s">
        <v>55</v>
      </c>
      <c r="D61" t="s">
        <v>398</v>
      </c>
      <c r="E61" s="36" t="s">
        <v>310</v>
      </c>
      <c r="F61" s="36" t="s">
        <v>544</v>
      </c>
      <c r="G61" s="65" t="s">
        <v>168</v>
      </c>
      <c r="H61" s="81">
        <v>45775</v>
      </c>
      <c r="I61" s="81">
        <v>45776</v>
      </c>
      <c r="J61" s="36">
        <v>0.8</v>
      </c>
      <c r="K61" s="62" t="s">
        <v>364</v>
      </c>
    </row>
    <row r="62" spans="1:11" ht="29">
      <c r="A62" s="37">
        <v>7795992</v>
      </c>
      <c r="B62" s="36" t="s">
        <v>55</v>
      </c>
      <c r="C62" s="36" t="s">
        <v>55</v>
      </c>
      <c r="D62" t="s">
        <v>398</v>
      </c>
      <c r="E62" s="36" t="s">
        <v>310</v>
      </c>
      <c r="F62" s="36" t="s">
        <v>544</v>
      </c>
      <c r="G62" s="65" t="s">
        <v>168</v>
      </c>
      <c r="H62" s="81">
        <v>45775</v>
      </c>
      <c r="I62" s="81">
        <v>45776</v>
      </c>
      <c r="J62" s="36">
        <v>0.8</v>
      </c>
      <c r="K62" s="62" t="s">
        <v>364</v>
      </c>
    </row>
    <row r="63" spans="1:11" ht="29">
      <c r="A63" s="37">
        <v>7795994</v>
      </c>
      <c r="B63" s="36" t="s">
        <v>55</v>
      </c>
      <c r="C63" s="36" t="s">
        <v>55</v>
      </c>
      <c r="D63" t="s">
        <v>398</v>
      </c>
      <c r="E63" s="36" t="s">
        <v>310</v>
      </c>
      <c r="F63" s="36" t="s">
        <v>546</v>
      </c>
      <c r="G63" s="65" t="s">
        <v>190</v>
      </c>
      <c r="H63" s="81">
        <v>45775</v>
      </c>
      <c r="I63" s="81">
        <v>45776</v>
      </c>
      <c r="J63" s="36">
        <v>0.8</v>
      </c>
      <c r="K63" s="62" t="s">
        <v>364</v>
      </c>
    </row>
    <row r="64" spans="1:11" ht="29">
      <c r="A64" s="37">
        <v>7795995</v>
      </c>
      <c r="B64" s="36" t="s">
        <v>55</v>
      </c>
      <c r="C64" s="36" t="s">
        <v>55</v>
      </c>
      <c r="D64" t="s">
        <v>398</v>
      </c>
      <c r="E64" s="36" t="s">
        <v>310</v>
      </c>
      <c r="F64" s="36" t="s">
        <v>544</v>
      </c>
      <c r="G64" s="65" t="s">
        <v>168</v>
      </c>
      <c r="H64" s="81">
        <v>45775</v>
      </c>
      <c r="I64" s="81">
        <v>45776</v>
      </c>
      <c r="J64" s="36">
        <v>0.8</v>
      </c>
      <c r="K64" s="62" t="s">
        <v>364</v>
      </c>
    </row>
    <row r="65" spans="1:11" ht="29">
      <c r="A65" s="37">
        <v>7795999</v>
      </c>
      <c r="B65" s="36" t="s">
        <v>55</v>
      </c>
      <c r="C65" s="36" t="s">
        <v>55</v>
      </c>
      <c r="D65" t="s">
        <v>398</v>
      </c>
      <c r="E65" s="36" t="s">
        <v>310</v>
      </c>
      <c r="F65" s="36" t="s">
        <v>546</v>
      </c>
      <c r="G65" s="65" t="s">
        <v>190</v>
      </c>
      <c r="H65" s="81">
        <v>45775</v>
      </c>
      <c r="I65" s="81">
        <v>45775</v>
      </c>
      <c r="J65" s="36">
        <v>0</v>
      </c>
      <c r="K65" s="62" t="s">
        <v>364</v>
      </c>
    </row>
    <row r="66" spans="1:11" ht="29">
      <c r="A66" s="37">
        <v>7796002</v>
      </c>
      <c r="B66" s="36" t="s">
        <v>55</v>
      </c>
      <c r="C66" s="36" t="s">
        <v>55</v>
      </c>
      <c r="D66" t="s">
        <v>398</v>
      </c>
      <c r="E66" s="36" t="s">
        <v>310</v>
      </c>
      <c r="F66" s="36" t="s">
        <v>544</v>
      </c>
      <c r="G66" s="65" t="s">
        <v>168</v>
      </c>
      <c r="H66" s="81">
        <v>45775</v>
      </c>
      <c r="I66" s="81">
        <v>45776</v>
      </c>
      <c r="J66" s="36">
        <v>0.8</v>
      </c>
      <c r="K66" s="62" t="s">
        <v>364</v>
      </c>
    </row>
    <row r="67" spans="1:11" ht="29">
      <c r="A67" s="37">
        <v>7796001</v>
      </c>
      <c r="B67" s="36" t="s">
        <v>55</v>
      </c>
      <c r="C67" s="36" t="s">
        <v>55</v>
      </c>
      <c r="D67" t="s">
        <v>398</v>
      </c>
      <c r="E67" s="36" t="s">
        <v>310</v>
      </c>
      <c r="F67" s="36" t="s">
        <v>544</v>
      </c>
      <c r="G67" s="65" t="s">
        <v>168</v>
      </c>
      <c r="H67" s="81">
        <v>45775</v>
      </c>
      <c r="I67" s="81">
        <v>45775</v>
      </c>
      <c r="J67" s="36">
        <v>0</v>
      </c>
      <c r="K67" s="62" t="s">
        <v>364</v>
      </c>
    </row>
    <row r="68" spans="1:11" ht="29">
      <c r="A68" s="37">
        <v>7796012</v>
      </c>
      <c r="B68" s="36" t="s">
        <v>55</v>
      </c>
      <c r="C68" s="36" t="s">
        <v>55</v>
      </c>
      <c r="D68" t="s">
        <v>398</v>
      </c>
      <c r="E68" s="36" t="s">
        <v>310</v>
      </c>
      <c r="F68" s="36" t="s">
        <v>546</v>
      </c>
      <c r="G68" s="65" t="s">
        <v>190</v>
      </c>
      <c r="H68" s="81">
        <v>45775</v>
      </c>
      <c r="I68" s="81">
        <v>45776</v>
      </c>
      <c r="J68" s="36">
        <v>0.8</v>
      </c>
      <c r="K68" s="62" t="s">
        <v>364</v>
      </c>
    </row>
    <row r="69" spans="1:11" ht="29">
      <c r="A69" s="37">
        <v>7796014</v>
      </c>
      <c r="B69" s="36" t="s">
        <v>55</v>
      </c>
      <c r="C69" s="36" t="s">
        <v>55</v>
      </c>
      <c r="D69" t="s">
        <v>398</v>
      </c>
      <c r="E69" s="36" t="s">
        <v>310</v>
      </c>
      <c r="F69" s="36" t="s">
        <v>544</v>
      </c>
      <c r="G69" s="65" t="s">
        <v>168</v>
      </c>
      <c r="H69" s="81">
        <v>45775</v>
      </c>
      <c r="I69" s="81">
        <v>45775</v>
      </c>
      <c r="J69" s="36">
        <v>0</v>
      </c>
      <c r="K69" s="62" t="s">
        <v>364</v>
      </c>
    </row>
    <row r="70" spans="1:11" ht="29">
      <c r="A70" s="37">
        <v>7796013</v>
      </c>
      <c r="B70" s="36" t="s">
        <v>55</v>
      </c>
      <c r="C70" s="36" t="s">
        <v>55</v>
      </c>
      <c r="D70" t="s">
        <v>398</v>
      </c>
      <c r="E70" s="36" t="s">
        <v>310</v>
      </c>
      <c r="F70" s="36" t="s">
        <v>544</v>
      </c>
      <c r="G70" s="65" t="s">
        <v>168</v>
      </c>
      <c r="H70" s="81">
        <v>45775</v>
      </c>
      <c r="I70" s="81">
        <v>45776</v>
      </c>
      <c r="J70" s="36">
        <v>0.8</v>
      </c>
      <c r="K70" s="62" t="s">
        <v>364</v>
      </c>
    </row>
    <row r="71" spans="1:11" ht="29">
      <c r="A71" s="37">
        <v>7796028</v>
      </c>
      <c r="B71" s="36" t="s">
        <v>55</v>
      </c>
      <c r="C71" s="36" t="s">
        <v>55</v>
      </c>
      <c r="D71" t="s">
        <v>398</v>
      </c>
      <c r="E71" s="36" t="s">
        <v>310</v>
      </c>
      <c r="F71" s="36" t="s">
        <v>547</v>
      </c>
      <c r="G71" s="65" t="s">
        <v>168</v>
      </c>
      <c r="H71" s="81">
        <v>45775</v>
      </c>
      <c r="I71" s="81">
        <v>45775</v>
      </c>
      <c r="J71" s="36">
        <v>0</v>
      </c>
      <c r="K71" s="62" t="s">
        <v>364</v>
      </c>
    </row>
    <row r="72" spans="1:11">
      <c r="A72" s="37">
        <v>7807491</v>
      </c>
      <c r="B72" s="36" t="s">
        <v>269</v>
      </c>
      <c r="C72" t="s">
        <v>251</v>
      </c>
      <c r="D72" s="36" t="s">
        <v>267</v>
      </c>
      <c r="E72" s="36" t="s">
        <v>268</v>
      </c>
      <c r="F72" s="36" t="s">
        <v>548</v>
      </c>
      <c r="G72" s="65" t="s">
        <v>162</v>
      </c>
      <c r="H72" s="35">
        <v>45777</v>
      </c>
      <c r="I72" s="35">
        <v>45778</v>
      </c>
      <c r="J72" s="36">
        <v>0</v>
      </c>
    </row>
    <row r="73" spans="1:11" s="11" customFormat="1" ht="16.5" customHeight="1">
      <c r="A73" s="11" t="s">
        <v>549</v>
      </c>
      <c r="B73" s="22" t="s">
        <v>52</v>
      </c>
      <c r="C73" s="11" t="s">
        <v>251</v>
      </c>
      <c r="D73" s="68" t="s">
        <v>250</v>
      </c>
      <c r="E73" s="68" t="s">
        <v>366</v>
      </c>
      <c r="F73" s="68" t="s">
        <v>550</v>
      </c>
      <c r="G73" s="65" t="s">
        <v>168</v>
      </c>
      <c r="H73" s="66">
        <v>45748</v>
      </c>
      <c r="I73" s="66">
        <v>45748</v>
      </c>
      <c r="J73" s="11">
        <v>0</v>
      </c>
      <c r="K73" s="62" t="s">
        <v>364</v>
      </c>
    </row>
    <row r="74" spans="1:11" s="11" customFormat="1" ht="16.5" customHeight="1">
      <c r="A74" s="11" t="s">
        <v>549</v>
      </c>
      <c r="B74" s="22" t="s">
        <v>52</v>
      </c>
      <c r="C74" s="11" t="s">
        <v>251</v>
      </c>
      <c r="D74" s="68" t="s">
        <v>250</v>
      </c>
      <c r="E74" s="68" t="s">
        <v>366</v>
      </c>
      <c r="F74" s="68" t="s">
        <v>551</v>
      </c>
      <c r="G74" s="65" t="s">
        <v>168</v>
      </c>
      <c r="H74" s="66">
        <v>45748</v>
      </c>
      <c r="I74" s="66">
        <v>45748</v>
      </c>
      <c r="J74" s="11">
        <v>0</v>
      </c>
      <c r="K74" s="62" t="s">
        <v>364</v>
      </c>
    </row>
    <row r="75" spans="1:11" s="11" customFormat="1" ht="16.5" customHeight="1">
      <c r="A75" s="11" t="s">
        <v>549</v>
      </c>
      <c r="B75" s="22" t="s">
        <v>52</v>
      </c>
      <c r="C75" s="11" t="s">
        <v>251</v>
      </c>
      <c r="D75" s="68" t="s">
        <v>250</v>
      </c>
      <c r="E75" s="67" t="s">
        <v>366</v>
      </c>
      <c r="F75" s="68" t="s">
        <v>552</v>
      </c>
      <c r="G75" s="65" t="s">
        <v>168</v>
      </c>
      <c r="H75" s="66">
        <v>45754</v>
      </c>
      <c r="I75" s="66">
        <v>45754</v>
      </c>
      <c r="J75" s="11">
        <v>0</v>
      </c>
      <c r="K75" s="62" t="s">
        <v>364</v>
      </c>
    </row>
    <row r="76" spans="1:11">
      <c r="A76" s="23"/>
      <c r="B76" s="23" t="s">
        <v>1</v>
      </c>
      <c r="C76" s="23"/>
      <c r="D76" s="23" t="s">
        <v>165</v>
      </c>
      <c r="E76" s="23" t="s">
        <v>165</v>
      </c>
      <c r="F76" s="23" t="s">
        <v>553</v>
      </c>
      <c r="G76" s="23" t="s">
        <v>178</v>
      </c>
      <c r="H76" s="49">
        <v>45754</v>
      </c>
    </row>
    <row r="77" spans="1:11">
      <c r="A77" s="23"/>
      <c r="B77" s="23" t="s">
        <v>1</v>
      </c>
      <c r="C77" s="23"/>
      <c r="D77" s="23" t="s">
        <v>165</v>
      </c>
      <c r="E77" s="23" t="s">
        <v>554</v>
      </c>
      <c r="F77" s="23" t="s">
        <v>555</v>
      </c>
      <c r="G77" s="23" t="s">
        <v>162</v>
      </c>
      <c r="H77" s="49">
        <v>45750</v>
      </c>
      <c r="I77" s="125">
        <v>45752</v>
      </c>
    </row>
    <row r="78" spans="1:11">
      <c r="B78" t="s">
        <v>1</v>
      </c>
      <c r="D78" t="s">
        <v>165</v>
      </c>
      <c r="E78" t="s">
        <v>165</v>
      </c>
      <c r="F78" t="s">
        <v>556</v>
      </c>
      <c r="G78" s="23" t="s">
        <v>162</v>
      </c>
      <c r="H78" s="16">
        <v>45749</v>
      </c>
      <c r="I78" s="125">
        <v>45751</v>
      </c>
    </row>
    <row r="79" spans="1:11" ht="29">
      <c r="A79" t="s">
        <v>167</v>
      </c>
      <c r="B79" t="s">
        <v>1</v>
      </c>
      <c r="D79" t="s">
        <v>165</v>
      </c>
      <c r="E79" t="s">
        <v>164</v>
      </c>
      <c r="F79" t="s">
        <v>0</v>
      </c>
      <c r="H79" s="16">
        <v>45770</v>
      </c>
      <c r="I79" s="125">
        <v>45770</v>
      </c>
      <c r="K79" s="6" t="s">
        <v>557</v>
      </c>
    </row>
    <row r="80" spans="1:11" ht="15.5">
      <c r="A80" s="11" t="s">
        <v>176</v>
      </c>
      <c r="B80" s="11" t="s">
        <v>175</v>
      </c>
      <c r="C80" s="11" t="s">
        <v>23</v>
      </c>
      <c r="D80" s="11" t="s">
        <v>173</v>
      </c>
      <c r="E80" s="11" t="s">
        <v>351</v>
      </c>
      <c r="F80" s="126" t="s">
        <v>558</v>
      </c>
      <c r="G80" s="11" t="s">
        <v>168</v>
      </c>
      <c r="H80" s="13">
        <v>45774</v>
      </c>
      <c r="I80" s="13">
        <v>45774</v>
      </c>
      <c r="J80" s="12"/>
      <c r="K80" s="18" t="s">
        <v>559</v>
      </c>
    </row>
    <row r="81" spans="1:11">
      <c r="A81" s="11" t="s">
        <v>230</v>
      </c>
      <c r="B81" s="11" t="s">
        <v>175</v>
      </c>
      <c r="C81" s="11" t="s">
        <v>229</v>
      </c>
      <c r="D81" s="11" t="s">
        <v>173</v>
      </c>
      <c r="E81" s="11" t="s">
        <v>228</v>
      </c>
      <c r="F81" s="11" t="s">
        <v>327</v>
      </c>
      <c r="G81" s="11" t="s">
        <v>178</v>
      </c>
      <c r="H81" s="13">
        <v>45749</v>
      </c>
      <c r="I81" s="13">
        <v>45749</v>
      </c>
      <c r="J81" s="14">
        <f t="shared" ref="J81:J89" si="1">I81-H81</f>
        <v>0</v>
      </c>
      <c r="K81" s="11"/>
    </row>
    <row r="82" spans="1:11">
      <c r="A82" s="11" t="s">
        <v>230</v>
      </c>
      <c r="B82" s="11" t="s">
        <v>175</v>
      </c>
      <c r="C82" s="11" t="s">
        <v>229</v>
      </c>
      <c r="D82" s="11" t="s">
        <v>173</v>
      </c>
      <c r="E82" s="11" t="s">
        <v>228</v>
      </c>
      <c r="F82" s="11" t="s">
        <v>79</v>
      </c>
      <c r="G82" s="11" t="s">
        <v>190</v>
      </c>
      <c r="H82" s="13">
        <v>45750</v>
      </c>
      <c r="I82" s="13">
        <v>45750</v>
      </c>
      <c r="J82" s="14">
        <f t="shared" si="1"/>
        <v>0</v>
      </c>
      <c r="K82" s="11"/>
    </row>
    <row r="83" spans="1:11">
      <c r="A83" s="11" t="s">
        <v>230</v>
      </c>
      <c r="B83" s="11" t="s">
        <v>175</v>
      </c>
      <c r="C83" s="11" t="s">
        <v>229</v>
      </c>
      <c r="D83" s="11" t="s">
        <v>173</v>
      </c>
      <c r="E83" s="11" t="s">
        <v>228</v>
      </c>
      <c r="F83" s="11" t="s">
        <v>560</v>
      </c>
      <c r="G83" s="11" t="s">
        <v>170</v>
      </c>
      <c r="H83" s="13">
        <v>45754</v>
      </c>
      <c r="I83" s="13">
        <v>45754</v>
      </c>
      <c r="J83" s="14">
        <f t="shared" si="1"/>
        <v>0</v>
      </c>
      <c r="K83" s="11"/>
    </row>
    <row r="84" spans="1:11" ht="159.5">
      <c r="A84" s="11" t="s">
        <v>230</v>
      </c>
      <c r="B84" s="11" t="s">
        <v>175</v>
      </c>
      <c r="C84" s="11" t="s">
        <v>229</v>
      </c>
      <c r="D84" s="11" t="s">
        <v>173</v>
      </c>
      <c r="E84" s="11" t="s">
        <v>228</v>
      </c>
      <c r="F84" s="11" t="s">
        <v>561</v>
      </c>
      <c r="G84" s="11" t="s">
        <v>168</v>
      </c>
      <c r="H84" s="13">
        <v>45755</v>
      </c>
      <c r="I84" s="13">
        <v>45755</v>
      </c>
      <c r="J84" s="14">
        <f t="shared" si="1"/>
        <v>0</v>
      </c>
      <c r="K84" s="62" t="s">
        <v>562</v>
      </c>
    </row>
    <row r="85" spans="1:11">
      <c r="A85" s="11" t="s">
        <v>230</v>
      </c>
      <c r="B85" s="11" t="s">
        <v>175</v>
      </c>
      <c r="C85" s="11" t="s">
        <v>229</v>
      </c>
      <c r="D85" s="11" t="s">
        <v>173</v>
      </c>
      <c r="E85" s="11" t="s">
        <v>228</v>
      </c>
      <c r="F85" s="11" t="s">
        <v>563</v>
      </c>
      <c r="G85" s="11" t="s">
        <v>170</v>
      </c>
      <c r="H85" s="13">
        <v>45755</v>
      </c>
      <c r="I85" s="13">
        <v>45755</v>
      </c>
      <c r="J85" s="14">
        <f t="shared" si="1"/>
        <v>0</v>
      </c>
      <c r="K85" s="11"/>
    </row>
    <row r="86" spans="1:11">
      <c r="A86" s="11" t="s">
        <v>230</v>
      </c>
      <c r="B86" s="11" t="s">
        <v>175</v>
      </c>
      <c r="C86" s="11" t="s">
        <v>229</v>
      </c>
      <c r="D86" s="11" t="s">
        <v>173</v>
      </c>
      <c r="E86" s="11" t="s">
        <v>228</v>
      </c>
      <c r="F86" s="11" t="s">
        <v>564</v>
      </c>
      <c r="G86" s="11" t="s">
        <v>168</v>
      </c>
      <c r="H86" s="13">
        <v>45779</v>
      </c>
      <c r="I86" s="13">
        <v>45779</v>
      </c>
      <c r="J86" s="14">
        <f t="shared" si="1"/>
        <v>0</v>
      </c>
      <c r="K86" s="11"/>
    </row>
    <row r="87" spans="1:11">
      <c r="A87" s="11" t="s">
        <v>230</v>
      </c>
      <c r="B87" s="11" t="s">
        <v>175</v>
      </c>
      <c r="C87" s="11" t="s">
        <v>229</v>
      </c>
      <c r="D87" s="11" t="s">
        <v>173</v>
      </c>
      <c r="E87" s="11" t="s">
        <v>228</v>
      </c>
      <c r="F87" s="11" t="s">
        <v>565</v>
      </c>
      <c r="G87" s="20" t="s">
        <v>162</v>
      </c>
      <c r="H87" s="13">
        <v>45792</v>
      </c>
      <c r="I87" s="13">
        <v>45792</v>
      </c>
      <c r="J87" s="14">
        <f t="shared" si="1"/>
        <v>0</v>
      </c>
      <c r="K87" s="11"/>
    </row>
    <row r="88" spans="1:11">
      <c r="A88" s="11" t="s">
        <v>230</v>
      </c>
      <c r="B88" s="11" t="s">
        <v>175</v>
      </c>
      <c r="C88" s="11" t="s">
        <v>229</v>
      </c>
      <c r="D88" s="11" t="s">
        <v>173</v>
      </c>
      <c r="E88" s="11" t="s">
        <v>228</v>
      </c>
      <c r="F88" s="11" t="s">
        <v>566</v>
      </c>
      <c r="G88" s="11" t="s">
        <v>178</v>
      </c>
      <c r="H88" s="13">
        <v>45812</v>
      </c>
      <c r="I88" s="13">
        <v>45812</v>
      </c>
      <c r="J88" s="14">
        <f t="shared" si="1"/>
        <v>0</v>
      </c>
      <c r="K88" s="11"/>
    </row>
    <row r="89" spans="1:11">
      <c r="A89" s="11" t="s">
        <v>230</v>
      </c>
      <c r="B89" s="11" t="s">
        <v>175</v>
      </c>
      <c r="C89" s="11" t="s">
        <v>229</v>
      </c>
      <c r="D89" s="11" t="s">
        <v>173</v>
      </c>
      <c r="E89" s="11" t="s">
        <v>228</v>
      </c>
      <c r="F89" s="11" t="s">
        <v>567</v>
      </c>
      <c r="G89" s="11" t="s">
        <v>178</v>
      </c>
      <c r="H89" s="13">
        <v>45807</v>
      </c>
      <c r="I89" s="13">
        <v>45817</v>
      </c>
      <c r="J89" s="14">
        <f t="shared" si="1"/>
        <v>10</v>
      </c>
      <c r="K89" s="11"/>
    </row>
    <row r="90" spans="1:11">
      <c r="A90" s="11"/>
      <c r="B90" s="11"/>
      <c r="C90" s="11"/>
      <c r="D90" s="11"/>
      <c r="E90" s="11"/>
      <c r="F90" s="11"/>
      <c r="G90" s="11"/>
      <c r="H90" s="11"/>
      <c r="I90" s="11"/>
      <c r="J90" s="11"/>
      <c r="K90" s="11"/>
    </row>
    <row r="91" spans="1:11">
      <c r="A91" s="11"/>
      <c r="B91" s="11"/>
      <c r="C91" s="11"/>
      <c r="D91" s="11"/>
      <c r="E91" s="11"/>
      <c r="F91" s="11"/>
      <c r="G91" s="11"/>
      <c r="H91" s="11"/>
      <c r="I91" s="11"/>
      <c r="J91" s="11"/>
      <c r="K91" s="11"/>
    </row>
    <row r="92" spans="1:11">
      <c r="A92" s="11"/>
      <c r="B92" s="11"/>
      <c r="C92" s="11"/>
      <c r="D92" s="11"/>
      <c r="E92" s="11"/>
      <c r="F92" s="11"/>
      <c r="G92" s="11"/>
      <c r="H92" s="11"/>
      <c r="I92" s="11"/>
      <c r="J92" s="11"/>
      <c r="K92" s="11"/>
    </row>
    <row r="93" spans="1:11">
      <c r="A93" s="11"/>
      <c r="B93" s="11"/>
      <c r="C93" s="11"/>
      <c r="D93" s="11"/>
      <c r="E93" s="11"/>
      <c r="F93" s="11"/>
      <c r="G93" s="11"/>
      <c r="H93" s="13"/>
      <c r="I93" s="13"/>
      <c r="J93" s="12"/>
      <c r="K93" s="11"/>
    </row>
    <row r="94" spans="1:11">
      <c r="A94" s="11"/>
      <c r="B94" s="11"/>
      <c r="C94" s="11"/>
      <c r="D94" s="11"/>
      <c r="E94" s="11"/>
      <c r="F94" s="11"/>
      <c r="G94" s="11"/>
      <c r="H94" s="13"/>
      <c r="I94" s="13"/>
      <c r="J94" s="12"/>
      <c r="K94" s="11"/>
    </row>
    <row r="95" spans="1:11">
      <c r="A95" s="11"/>
      <c r="B95" s="11"/>
      <c r="C95" s="11"/>
      <c r="D95" s="11"/>
      <c r="E95" s="11"/>
      <c r="F95" s="11"/>
      <c r="G95" s="11"/>
      <c r="H95" s="13"/>
      <c r="I95" s="13"/>
      <c r="J95" s="12"/>
      <c r="K95" s="11"/>
    </row>
    <row r="96" spans="1:11">
      <c r="A96" s="11"/>
      <c r="B96" s="11"/>
      <c r="C96" s="11"/>
      <c r="D96" s="11"/>
      <c r="E96" s="11"/>
      <c r="F96" s="11"/>
      <c r="G96" s="11"/>
      <c r="H96" s="13"/>
      <c r="I96" s="13"/>
      <c r="J96" s="12"/>
      <c r="K96" s="11"/>
    </row>
    <row r="97" spans="1:11">
      <c r="A97" s="11"/>
      <c r="B97" s="11"/>
      <c r="C97" s="11"/>
      <c r="D97" s="11"/>
      <c r="E97" s="11"/>
      <c r="F97" s="11"/>
      <c r="G97" s="11"/>
      <c r="H97" s="13"/>
      <c r="I97" s="13"/>
      <c r="J97" s="12"/>
      <c r="K97" s="11"/>
    </row>
    <row r="98" spans="1:11">
      <c r="A98" s="11"/>
      <c r="B98" s="11"/>
      <c r="C98" s="11"/>
      <c r="D98" s="11"/>
      <c r="E98" s="11"/>
      <c r="F98" s="11"/>
      <c r="G98" s="11"/>
      <c r="H98" s="13"/>
      <c r="I98" s="13"/>
      <c r="J98" s="12"/>
      <c r="K98" s="11"/>
    </row>
    <row r="99" spans="1:11">
      <c r="A99" s="11"/>
      <c r="B99" s="11"/>
      <c r="C99" s="11"/>
      <c r="D99" s="11"/>
      <c r="E99" s="11"/>
      <c r="F99" s="11"/>
      <c r="G99" s="11"/>
      <c r="H99" s="13"/>
      <c r="I99" s="13"/>
      <c r="J99" s="12"/>
      <c r="K99" s="11"/>
    </row>
    <row r="100" spans="1:11">
      <c r="A100" s="11"/>
      <c r="B100" s="11"/>
      <c r="C100" s="11"/>
      <c r="D100" s="11"/>
      <c r="E100" s="11"/>
      <c r="F100" s="11"/>
      <c r="G100" s="11"/>
      <c r="H100" s="13"/>
      <c r="I100" s="13"/>
      <c r="J100" s="12"/>
      <c r="K100" s="11"/>
    </row>
    <row r="101" spans="1:11">
      <c r="A101" s="11"/>
      <c r="B101" s="11"/>
      <c r="C101" s="11"/>
      <c r="D101" s="11"/>
      <c r="E101" s="11"/>
      <c r="F101" s="11"/>
      <c r="G101" s="11"/>
      <c r="H101" s="13"/>
      <c r="I101" s="13"/>
      <c r="J101" s="12"/>
      <c r="K101" s="11"/>
    </row>
    <row r="102" spans="1:11">
      <c r="A102" s="11"/>
      <c r="B102" s="11"/>
      <c r="C102" s="11"/>
      <c r="D102" s="11"/>
      <c r="E102" s="11"/>
      <c r="F102" s="11"/>
      <c r="G102" s="11"/>
      <c r="H102" s="13"/>
      <c r="I102" s="13"/>
      <c r="J102" s="12"/>
      <c r="K102" s="11"/>
    </row>
    <row r="103" spans="1:11">
      <c r="A103" s="11"/>
      <c r="B103" s="11"/>
      <c r="C103" s="11"/>
      <c r="D103" s="11"/>
      <c r="E103" s="11"/>
      <c r="F103" s="11"/>
      <c r="G103" s="11"/>
      <c r="H103" s="13"/>
      <c r="I103" s="13"/>
      <c r="J103" s="12"/>
      <c r="K103" s="11"/>
    </row>
    <row r="104" spans="1:11">
      <c r="A104" s="11"/>
      <c r="B104" s="11"/>
      <c r="C104" s="11"/>
      <c r="D104" s="11"/>
      <c r="E104" s="11"/>
      <c r="F104" s="11"/>
      <c r="G104" s="11"/>
      <c r="H104" s="13"/>
      <c r="I104" s="13"/>
      <c r="J104" s="12"/>
      <c r="K104" s="11"/>
    </row>
    <row r="105" spans="1:11">
      <c r="A105" s="11"/>
      <c r="B105" s="11"/>
      <c r="C105" s="11"/>
      <c r="D105" s="11"/>
      <c r="E105" s="11"/>
      <c r="F105" s="11"/>
      <c r="G105" s="11"/>
      <c r="H105" s="13"/>
      <c r="I105" s="13"/>
      <c r="J105" s="12"/>
      <c r="K105" s="11"/>
    </row>
    <row r="106" spans="1:11">
      <c r="A106" s="11"/>
      <c r="B106" s="11"/>
      <c r="C106" s="11"/>
      <c r="D106" s="11"/>
      <c r="E106" s="11"/>
      <c r="F106" s="11"/>
      <c r="G106" s="11"/>
      <c r="H106" s="13"/>
      <c r="I106" s="13"/>
      <c r="J106" s="12"/>
      <c r="K106" s="11"/>
    </row>
    <row r="107" spans="1:11">
      <c r="A107" s="11"/>
      <c r="B107" s="11"/>
      <c r="C107" s="11"/>
      <c r="D107" s="11"/>
      <c r="E107" s="11"/>
      <c r="F107" s="11"/>
      <c r="G107" s="11"/>
      <c r="H107" s="13"/>
      <c r="I107" s="13"/>
      <c r="J107" s="12"/>
      <c r="K107" s="11"/>
    </row>
    <row r="108" spans="1:11">
      <c r="A108" s="11"/>
      <c r="B108" s="11"/>
      <c r="C108" s="11"/>
      <c r="D108" s="11"/>
      <c r="E108" s="11"/>
      <c r="F108" s="11"/>
      <c r="G108" s="11"/>
      <c r="H108" s="11"/>
      <c r="I108" s="11"/>
      <c r="J108" s="11"/>
      <c r="K108" s="11"/>
    </row>
    <row r="109" spans="1:11">
      <c r="A109" s="11"/>
      <c r="B109" s="11"/>
      <c r="C109" s="11"/>
      <c r="D109" s="11"/>
      <c r="E109" s="11"/>
      <c r="F109" s="11"/>
      <c r="G109" s="11"/>
      <c r="H109" s="13"/>
      <c r="I109" s="13"/>
      <c r="J109" s="12"/>
      <c r="K109" s="11"/>
    </row>
    <row r="110" spans="1:11">
      <c r="A110" s="11"/>
      <c r="B110" s="11"/>
      <c r="C110" s="11"/>
      <c r="D110" s="11"/>
      <c r="E110" s="11"/>
      <c r="F110" s="11"/>
      <c r="G110" s="11"/>
      <c r="H110" s="13"/>
      <c r="I110" s="13"/>
      <c r="J110" s="12"/>
      <c r="K110" s="11"/>
    </row>
    <row r="111" spans="1:11">
      <c r="A111" s="11"/>
      <c r="B111" s="11"/>
      <c r="C111" s="11"/>
      <c r="D111" s="11"/>
      <c r="E111" s="11"/>
      <c r="F111" s="11"/>
      <c r="G111" s="11"/>
      <c r="H111" s="13"/>
      <c r="I111" s="13"/>
      <c r="J111" s="12"/>
      <c r="K111" s="11"/>
    </row>
    <row r="112" spans="1:11">
      <c r="A112" s="11"/>
      <c r="B112" s="11"/>
      <c r="C112" s="11"/>
      <c r="D112" s="11"/>
      <c r="E112" s="11"/>
      <c r="F112" s="11"/>
      <c r="G112" s="11"/>
      <c r="H112" s="13"/>
      <c r="I112" s="13"/>
      <c r="J112" s="12"/>
      <c r="K112" s="11"/>
    </row>
    <row r="113" spans="1:11">
      <c r="A113" s="11"/>
      <c r="B113" s="11"/>
      <c r="C113" s="11"/>
      <c r="D113" s="11"/>
      <c r="E113" s="11"/>
      <c r="F113" s="11"/>
      <c r="G113" s="11"/>
      <c r="H113" s="13"/>
      <c r="I113" s="13"/>
      <c r="J113" s="12"/>
      <c r="K113" s="11"/>
    </row>
    <row r="114" spans="1:11">
      <c r="A114" s="11"/>
      <c r="B114" s="11"/>
      <c r="C114" s="11"/>
      <c r="D114" s="11"/>
      <c r="E114" s="11"/>
      <c r="F114" s="11"/>
      <c r="G114" s="11"/>
      <c r="H114" s="13"/>
      <c r="I114" s="13"/>
      <c r="J114" s="12"/>
      <c r="K114" s="11"/>
    </row>
    <row r="115" spans="1:11">
      <c r="A115" s="11"/>
      <c r="B115" s="11"/>
      <c r="C115" s="11"/>
      <c r="D115" s="11"/>
      <c r="E115" s="11"/>
      <c r="F115" s="11"/>
      <c r="G115" s="11"/>
      <c r="H115" s="13"/>
      <c r="I115" s="13"/>
      <c r="J115" s="12"/>
      <c r="K115" s="11"/>
    </row>
    <row r="116" spans="1:11">
      <c r="A116" s="11"/>
      <c r="B116" s="11"/>
      <c r="C116" s="11"/>
      <c r="D116" s="11"/>
      <c r="E116" s="11"/>
      <c r="F116" s="11"/>
      <c r="G116" s="11"/>
      <c r="H116" s="13"/>
      <c r="I116" s="13"/>
      <c r="J116" s="12"/>
      <c r="K116" s="11"/>
    </row>
    <row r="117" spans="1:11">
      <c r="A117" s="11"/>
      <c r="B117" s="11"/>
      <c r="C117" s="11"/>
      <c r="D117" s="11"/>
      <c r="E117" s="11"/>
      <c r="F117" s="11"/>
      <c r="G117" s="11"/>
      <c r="H117" s="13"/>
      <c r="I117" s="13"/>
      <c r="J117" s="12"/>
      <c r="K117" s="11"/>
    </row>
    <row r="118" spans="1:11">
      <c r="A118" s="11"/>
      <c r="B118" s="11"/>
      <c r="C118" s="11"/>
      <c r="D118" s="11"/>
      <c r="E118" s="11"/>
      <c r="F118" s="11"/>
      <c r="G118" s="11"/>
      <c r="H118" s="11"/>
      <c r="I118" s="11"/>
      <c r="J118" s="11"/>
      <c r="K118" s="11"/>
    </row>
    <row r="119" spans="1:11">
      <c r="A119" s="11" t="s">
        <v>176</v>
      </c>
      <c r="B119" s="11" t="s">
        <v>175</v>
      </c>
      <c r="C119" s="11" t="s">
        <v>294</v>
      </c>
      <c r="D119" s="11" t="s">
        <v>173</v>
      </c>
      <c r="E119" s="11" t="s">
        <v>293</v>
      </c>
      <c r="F119" s="64" t="s">
        <v>568</v>
      </c>
      <c r="G119" s="11" t="s">
        <v>342</v>
      </c>
      <c r="H119" s="13">
        <v>45748</v>
      </c>
      <c r="I119" s="13">
        <v>45748</v>
      </c>
      <c r="J119" s="14">
        <f t="shared" ref="J119:J151" si="2">I119-H119</f>
        <v>0</v>
      </c>
      <c r="K119" s="11"/>
    </row>
    <row r="120" spans="1:11">
      <c r="A120" s="11" t="s">
        <v>176</v>
      </c>
      <c r="B120" s="11" t="s">
        <v>175</v>
      </c>
      <c r="C120" s="11" t="s">
        <v>294</v>
      </c>
      <c r="D120" s="11" t="s">
        <v>173</v>
      </c>
      <c r="E120" s="11" t="s">
        <v>293</v>
      </c>
      <c r="F120" s="64" t="s">
        <v>569</v>
      </c>
      <c r="G120" s="11" t="s">
        <v>168</v>
      </c>
      <c r="H120" s="13">
        <v>45749</v>
      </c>
      <c r="I120" s="13">
        <v>45752</v>
      </c>
      <c r="J120" s="14">
        <f t="shared" si="2"/>
        <v>3</v>
      </c>
      <c r="K120" s="11" t="s">
        <v>570</v>
      </c>
    </row>
    <row r="121" spans="1:11">
      <c r="A121" s="11" t="s">
        <v>176</v>
      </c>
      <c r="B121" s="11" t="s">
        <v>175</v>
      </c>
      <c r="C121" s="11" t="s">
        <v>294</v>
      </c>
      <c r="D121" s="11" t="s">
        <v>173</v>
      </c>
      <c r="E121" s="11" t="s">
        <v>293</v>
      </c>
      <c r="F121" s="11" t="s">
        <v>571</v>
      </c>
      <c r="G121" s="11" t="s">
        <v>168</v>
      </c>
      <c r="H121" s="13">
        <v>45750</v>
      </c>
      <c r="I121" s="13">
        <v>45753</v>
      </c>
      <c r="J121" s="14">
        <f t="shared" si="2"/>
        <v>3</v>
      </c>
      <c r="K121" s="11" t="s">
        <v>572</v>
      </c>
    </row>
    <row r="122" spans="1:11">
      <c r="A122" s="11" t="s">
        <v>176</v>
      </c>
      <c r="B122" s="11" t="s">
        <v>175</v>
      </c>
      <c r="C122" s="11" t="s">
        <v>294</v>
      </c>
      <c r="D122" s="11" t="s">
        <v>173</v>
      </c>
      <c r="E122" s="11" t="s">
        <v>293</v>
      </c>
      <c r="F122" s="11" t="s">
        <v>573</v>
      </c>
      <c r="G122" s="11" t="s">
        <v>178</v>
      </c>
      <c r="H122" s="13">
        <v>45765</v>
      </c>
      <c r="I122" s="13">
        <v>45765</v>
      </c>
      <c r="J122" s="14">
        <f t="shared" si="2"/>
        <v>0</v>
      </c>
      <c r="K122" s="11" t="s">
        <v>574</v>
      </c>
    </row>
    <row r="123" spans="1:11">
      <c r="A123" s="11" t="s">
        <v>176</v>
      </c>
      <c r="B123" s="11" t="s">
        <v>175</v>
      </c>
      <c r="C123" s="11" t="s">
        <v>294</v>
      </c>
      <c r="D123" s="11" t="s">
        <v>173</v>
      </c>
      <c r="E123" s="11" t="s">
        <v>293</v>
      </c>
      <c r="F123" s="11" t="s">
        <v>575</v>
      </c>
      <c r="G123" s="11" t="s">
        <v>168</v>
      </c>
      <c r="H123" s="13">
        <v>45776</v>
      </c>
      <c r="I123" s="13">
        <v>45777</v>
      </c>
      <c r="J123" s="14">
        <f t="shared" si="2"/>
        <v>1</v>
      </c>
      <c r="K123" s="11" t="s">
        <v>576</v>
      </c>
    </row>
    <row r="124" spans="1:11">
      <c r="A124" s="11" t="s">
        <v>176</v>
      </c>
      <c r="B124" s="11" t="s">
        <v>175</v>
      </c>
      <c r="C124" s="11" t="s">
        <v>294</v>
      </c>
      <c r="D124" s="11" t="s">
        <v>173</v>
      </c>
      <c r="E124" s="11" t="s">
        <v>293</v>
      </c>
      <c r="F124" s="11" t="s">
        <v>577</v>
      </c>
      <c r="G124" s="11" t="s">
        <v>168</v>
      </c>
      <c r="H124" s="13">
        <v>45776</v>
      </c>
      <c r="I124" s="13">
        <v>45777</v>
      </c>
      <c r="J124" s="14">
        <f t="shared" si="2"/>
        <v>1</v>
      </c>
      <c r="K124" s="11" t="s">
        <v>578</v>
      </c>
    </row>
    <row r="125" spans="1:11">
      <c r="A125" s="11" t="s">
        <v>176</v>
      </c>
      <c r="B125" s="11" t="s">
        <v>175</v>
      </c>
      <c r="C125" s="11" t="s">
        <v>294</v>
      </c>
      <c r="D125" s="11" t="s">
        <v>173</v>
      </c>
      <c r="E125" s="11" t="s">
        <v>293</v>
      </c>
      <c r="F125" s="64" t="s">
        <v>579</v>
      </c>
      <c r="G125" s="11" t="s">
        <v>168</v>
      </c>
      <c r="H125" s="13">
        <v>45776</v>
      </c>
      <c r="I125" s="13">
        <v>45776</v>
      </c>
      <c r="J125" s="14">
        <f t="shared" si="2"/>
        <v>0</v>
      </c>
      <c r="K125" s="11" t="s">
        <v>580</v>
      </c>
    </row>
    <row r="126" spans="1:11">
      <c r="A126" s="11" t="s">
        <v>176</v>
      </c>
      <c r="B126" s="11" t="s">
        <v>175</v>
      </c>
      <c r="C126" s="11" t="s">
        <v>294</v>
      </c>
      <c r="D126" s="11" t="s">
        <v>173</v>
      </c>
      <c r="E126" s="11" t="s">
        <v>293</v>
      </c>
      <c r="F126" s="64" t="s">
        <v>581</v>
      </c>
      <c r="G126" s="11" t="s">
        <v>168</v>
      </c>
      <c r="H126" s="13">
        <v>45776</v>
      </c>
      <c r="I126" s="13">
        <v>45776</v>
      </c>
      <c r="J126" s="14">
        <f t="shared" si="2"/>
        <v>0</v>
      </c>
      <c r="K126" s="11" t="s">
        <v>582</v>
      </c>
    </row>
    <row r="127" spans="1:11">
      <c r="A127" s="11" t="s">
        <v>176</v>
      </c>
      <c r="B127" s="11" t="s">
        <v>175</v>
      </c>
      <c r="C127" s="11" t="s">
        <v>294</v>
      </c>
      <c r="D127" s="11" t="s">
        <v>173</v>
      </c>
      <c r="E127" s="11" t="s">
        <v>293</v>
      </c>
      <c r="F127" s="64" t="s">
        <v>583</v>
      </c>
      <c r="G127" s="11" t="s">
        <v>168</v>
      </c>
      <c r="H127" s="13">
        <v>45777</v>
      </c>
      <c r="I127" s="13">
        <v>45778</v>
      </c>
      <c r="J127" s="14">
        <f t="shared" si="2"/>
        <v>1</v>
      </c>
      <c r="K127" s="11" t="s">
        <v>580</v>
      </c>
    </row>
    <row r="128" spans="1:11">
      <c r="A128" s="11" t="s">
        <v>176</v>
      </c>
      <c r="B128" s="11" t="s">
        <v>175</v>
      </c>
      <c r="C128" s="11" t="s">
        <v>294</v>
      </c>
      <c r="D128" s="11" t="s">
        <v>173</v>
      </c>
      <c r="E128" s="11" t="s">
        <v>293</v>
      </c>
      <c r="F128" s="11" t="s">
        <v>584</v>
      </c>
      <c r="G128" s="11" t="s">
        <v>168</v>
      </c>
      <c r="H128" s="13">
        <v>45777</v>
      </c>
      <c r="I128" s="13">
        <v>45782</v>
      </c>
      <c r="J128" s="14">
        <f t="shared" si="2"/>
        <v>5</v>
      </c>
      <c r="K128" s="64" t="s">
        <v>585</v>
      </c>
    </row>
    <row r="129" spans="1:11">
      <c r="A129" s="11" t="s">
        <v>176</v>
      </c>
      <c r="B129" s="11" t="s">
        <v>175</v>
      </c>
      <c r="C129" s="11" t="s">
        <v>294</v>
      </c>
      <c r="D129" s="11" t="s">
        <v>173</v>
      </c>
      <c r="E129" s="11" t="s">
        <v>293</v>
      </c>
      <c r="F129" s="11" t="s">
        <v>586</v>
      </c>
      <c r="G129" s="11" t="s">
        <v>168</v>
      </c>
      <c r="H129" s="13">
        <v>45777</v>
      </c>
      <c r="I129" s="13">
        <v>45779</v>
      </c>
      <c r="J129" s="14">
        <f t="shared" si="2"/>
        <v>2</v>
      </c>
      <c r="K129" s="64" t="s">
        <v>587</v>
      </c>
    </row>
    <row r="130" spans="1:11">
      <c r="A130" s="11" t="s">
        <v>176</v>
      </c>
      <c r="B130" s="11" t="s">
        <v>175</v>
      </c>
      <c r="C130" s="11" t="s">
        <v>294</v>
      </c>
      <c r="D130" s="11" t="s">
        <v>173</v>
      </c>
      <c r="E130" s="11" t="s">
        <v>293</v>
      </c>
      <c r="F130" s="11" t="s">
        <v>588</v>
      </c>
      <c r="G130" s="11" t="s">
        <v>168</v>
      </c>
      <c r="H130" s="13">
        <v>45777</v>
      </c>
      <c r="I130" s="13">
        <v>45781</v>
      </c>
      <c r="J130" s="14">
        <f t="shared" si="2"/>
        <v>4</v>
      </c>
      <c r="K130" s="64" t="s">
        <v>589</v>
      </c>
    </row>
    <row r="131" spans="1:11">
      <c r="A131" s="11" t="s">
        <v>176</v>
      </c>
      <c r="B131" s="11" t="s">
        <v>175</v>
      </c>
      <c r="C131" s="11" t="s">
        <v>294</v>
      </c>
      <c r="D131" s="11" t="s">
        <v>173</v>
      </c>
      <c r="E131" s="11" t="s">
        <v>293</v>
      </c>
      <c r="F131" s="64" t="s">
        <v>590</v>
      </c>
      <c r="G131" s="11" t="s">
        <v>168</v>
      </c>
      <c r="H131" s="13">
        <v>45778</v>
      </c>
      <c r="I131" s="13">
        <v>45780</v>
      </c>
      <c r="J131" s="14">
        <f t="shared" si="2"/>
        <v>2</v>
      </c>
      <c r="K131" s="11" t="s">
        <v>591</v>
      </c>
    </row>
    <row r="132" spans="1:11">
      <c r="A132" s="11" t="s">
        <v>176</v>
      </c>
      <c r="B132" s="11" t="s">
        <v>175</v>
      </c>
      <c r="C132" s="11" t="s">
        <v>294</v>
      </c>
      <c r="D132" s="11" t="s">
        <v>173</v>
      </c>
      <c r="E132" s="11" t="s">
        <v>293</v>
      </c>
      <c r="F132" s="64" t="s">
        <v>592</v>
      </c>
      <c r="G132" s="11" t="s">
        <v>168</v>
      </c>
      <c r="H132" s="13">
        <v>45778</v>
      </c>
      <c r="I132" s="13">
        <v>45778</v>
      </c>
      <c r="J132" s="14">
        <f t="shared" si="2"/>
        <v>0</v>
      </c>
      <c r="K132" s="11" t="s">
        <v>593</v>
      </c>
    </row>
    <row r="133" spans="1:11">
      <c r="A133" s="11" t="s">
        <v>176</v>
      </c>
      <c r="B133" s="11" t="s">
        <v>175</v>
      </c>
      <c r="C133" s="11" t="s">
        <v>294</v>
      </c>
      <c r="D133" s="11" t="s">
        <v>173</v>
      </c>
      <c r="E133" s="11" t="s">
        <v>293</v>
      </c>
      <c r="F133" s="64" t="s">
        <v>594</v>
      </c>
      <c r="G133" s="11" t="s">
        <v>168</v>
      </c>
      <c r="H133" s="13">
        <v>45778</v>
      </c>
      <c r="I133" s="13">
        <v>45782</v>
      </c>
      <c r="J133" s="14">
        <f t="shared" si="2"/>
        <v>4</v>
      </c>
      <c r="K133" s="11" t="s">
        <v>595</v>
      </c>
    </row>
    <row r="134" spans="1:11" ht="116">
      <c r="A134" s="11" t="s">
        <v>176</v>
      </c>
      <c r="B134" s="11" t="s">
        <v>175</v>
      </c>
      <c r="C134" s="11" t="s">
        <v>294</v>
      </c>
      <c r="D134" s="11" t="s">
        <v>173</v>
      </c>
      <c r="E134" s="11" t="s">
        <v>293</v>
      </c>
      <c r="F134" s="11" t="s">
        <v>596</v>
      </c>
      <c r="G134" s="11" t="s">
        <v>168</v>
      </c>
      <c r="H134" s="13">
        <v>45777</v>
      </c>
      <c r="I134" s="13">
        <v>45782</v>
      </c>
      <c r="J134" s="14">
        <f t="shared" si="2"/>
        <v>5</v>
      </c>
      <c r="K134" s="62" t="s">
        <v>597</v>
      </c>
    </row>
    <row r="135" spans="1:11">
      <c r="A135" s="11" t="s">
        <v>176</v>
      </c>
      <c r="B135" s="11" t="s">
        <v>175</v>
      </c>
      <c r="C135" s="11" t="s">
        <v>294</v>
      </c>
      <c r="D135" s="11" t="s">
        <v>173</v>
      </c>
      <c r="E135" s="11" t="s">
        <v>293</v>
      </c>
      <c r="F135" s="11" t="s">
        <v>598</v>
      </c>
      <c r="G135" s="11" t="s">
        <v>168</v>
      </c>
      <c r="H135" s="13">
        <v>45792</v>
      </c>
      <c r="I135" s="13">
        <v>45797</v>
      </c>
      <c r="J135" s="14">
        <f t="shared" si="2"/>
        <v>5</v>
      </c>
      <c r="K135" s="11" t="s">
        <v>599</v>
      </c>
    </row>
    <row r="136" spans="1:11">
      <c r="A136" s="11" t="s">
        <v>176</v>
      </c>
      <c r="B136" s="11" t="s">
        <v>175</v>
      </c>
      <c r="C136" s="11" t="s">
        <v>294</v>
      </c>
      <c r="D136" s="11" t="s">
        <v>173</v>
      </c>
      <c r="E136" s="11" t="s">
        <v>293</v>
      </c>
      <c r="F136" s="11" t="s">
        <v>345</v>
      </c>
      <c r="G136" s="11" t="s">
        <v>168</v>
      </c>
      <c r="H136" s="13">
        <v>45792</v>
      </c>
      <c r="I136" s="13">
        <v>45794</v>
      </c>
      <c r="J136" s="14">
        <f t="shared" si="2"/>
        <v>2</v>
      </c>
      <c r="K136" s="11" t="s">
        <v>344</v>
      </c>
    </row>
    <row r="137" spans="1:11">
      <c r="A137" s="11" t="s">
        <v>176</v>
      </c>
      <c r="B137" s="11" t="s">
        <v>175</v>
      </c>
      <c r="C137" s="11" t="s">
        <v>294</v>
      </c>
      <c r="D137" s="11" t="s">
        <v>173</v>
      </c>
      <c r="E137" s="11" t="s">
        <v>293</v>
      </c>
      <c r="F137" s="64" t="s">
        <v>600</v>
      </c>
      <c r="G137" s="11" t="s">
        <v>162</v>
      </c>
      <c r="H137" s="13">
        <v>45792</v>
      </c>
      <c r="I137" s="13">
        <v>45792</v>
      </c>
      <c r="J137" s="14">
        <f t="shared" si="2"/>
        <v>0</v>
      </c>
      <c r="K137" s="11"/>
    </row>
    <row r="138" spans="1:11">
      <c r="A138" s="11" t="s">
        <v>176</v>
      </c>
      <c r="B138" s="11" t="s">
        <v>175</v>
      </c>
      <c r="C138" s="11" t="s">
        <v>294</v>
      </c>
      <c r="D138" s="11" t="s">
        <v>173</v>
      </c>
      <c r="E138" s="11" t="s">
        <v>293</v>
      </c>
      <c r="F138" s="11" t="s">
        <v>601</v>
      </c>
      <c r="G138" s="11" t="s">
        <v>168</v>
      </c>
      <c r="H138" s="13">
        <v>45796</v>
      </c>
      <c r="I138" s="13">
        <v>45796</v>
      </c>
      <c r="J138" s="14">
        <f t="shared" si="2"/>
        <v>0</v>
      </c>
      <c r="K138" s="11" t="s">
        <v>602</v>
      </c>
    </row>
    <row r="139" spans="1:11">
      <c r="A139" s="11" t="s">
        <v>176</v>
      </c>
      <c r="B139" s="11" t="s">
        <v>175</v>
      </c>
      <c r="C139" s="11" t="s">
        <v>294</v>
      </c>
      <c r="D139" s="11" t="s">
        <v>173</v>
      </c>
      <c r="E139" s="11" t="s">
        <v>293</v>
      </c>
      <c r="F139" s="64" t="s">
        <v>603</v>
      </c>
      <c r="G139" s="11" t="s">
        <v>162</v>
      </c>
      <c r="H139" s="13">
        <v>45803</v>
      </c>
      <c r="I139" s="13">
        <v>45803</v>
      </c>
      <c r="J139" s="14">
        <f t="shared" si="2"/>
        <v>0</v>
      </c>
      <c r="K139" s="11"/>
    </row>
    <row r="140" spans="1:11">
      <c r="A140" s="11" t="s">
        <v>176</v>
      </c>
      <c r="B140" s="11" t="s">
        <v>175</v>
      </c>
      <c r="C140" s="11" t="s">
        <v>294</v>
      </c>
      <c r="D140" s="11" t="s">
        <v>173</v>
      </c>
      <c r="E140" s="11" t="s">
        <v>604</v>
      </c>
      <c r="F140" s="11" t="s">
        <v>226</v>
      </c>
      <c r="G140" s="11" t="s">
        <v>178</v>
      </c>
      <c r="H140" s="13">
        <v>45758</v>
      </c>
      <c r="I140" s="13">
        <v>45758</v>
      </c>
      <c r="J140" s="14">
        <f t="shared" si="2"/>
        <v>0</v>
      </c>
      <c r="K140" s="11"/>
    </row>
    <row r="141" spans="1:11">
      <c r="A141" s="11" t="s">
        <v>176</v>
      </c>
      <c r="B141" s="11" t="s">
        <v>175</v>
      </c>
      <c r="C141" s="11" t="s">
        <v>294</v>
      </c>
      <c r="D141" s="11" t="s">
        <v>173</v>
      </c>
      <c r="E141" s="11" t="s">
        <v>604</v>
      </c>
      <c r="F141" s="11" t="s">
        <v>225</v>
      </c>
      <c r="G141" s="11" t="s">
        <v>178</v>
      </c>
      <c r="H141" s="13">
        <v>45758</v>
      </c>
      <c r="I141" s="13">
        <v>45758</v>
      </c>
      <c r="J141" s="14">
        <f t="shared" si="2"/>
        <v>0</v>
      </c>
      <c r="K141" s="11"/>
    </row>
    <row r="142" spans="1:11">
      <c r="A142" s="11" t="s">
        <v>176</v>
      </c>
      <c r="B142" s="11" t="s">
        <v>175</v>
      </c>
      <c r="C142" s="11" t="s">
        <v>294</v>
      </c>
      <c r="D142" s="11" t="s">
        <v>173</v>
      </c>
      <c r="E142" s="11" t="s">
        <v>604</v>
      </c>
      <c r="F142" s="11" t="s">
        <v>224</v>
      </c>
      <c r="G142" s="11" t="s">
        <v>178</v>
      </c>
      <c r="H142" s="13">
        <v>45758</v>
      </c>
      <c r="I142" s="13">
        <v>45758</v>
      </c>
      <c r="J142" s="14">
        <f t="shared" si="2"/>
        <v>0</v>
      </c>
      <c r="K142" s="11"/>
    </row>
    <row r="143" spans="1:11">
      <c r="A143" s="11" t="s">
        <v>176</v>
      </c>
      <c r="B143" s="11" t="s">
        <v>175</v>
      </c>
      <c r="C143" s="11" t="s">
        <v>294</v>
      </c>
      <c r="D143" s="11" t="s">
        <v>173</v>
      </c>
      <c r="E143" s="11" t="s">
        <v>604</v>
      </c>
      <c r="F143" s="11" t="s">
        <v>223</v>
      </c>
      <c r="G143" s="11" t="s">
        <v>178</v>
      </c>
      <c r="H143" s="13">
        <v>45758</v>
      </c>
      <c r="I143" s="13">
        <v>45758</v>
      </c>
      <c r="J143" s="14">
        <f t="shared" si="2"/>
        <v>0</v>
      </c>
      <c r="K143" s="11"/>
    </row>
    <row r="144" spans="1:11" ht="290">
      <c r="A144" s="11" t="s">
        <v>176</v>
      </c>
      <c r="B144" s="11" t="s">
        <v>175</v>
      </c>
      <c r="C144" s="11" t="s">
        <v>294</v>
      </c>
      <c r="D144" s="11" t="s">
        <v>173</v>
      </c>
      <c r="E144" s="11" t="s">
        <v>604</v>
      </c>
      <c r="F144" s="11" t="s">
        <v>605</v>
      </c>
      <c r="G144" s="11" t="s">
        <v>168</v>
      </c>
      <c r="H144" s="13">
        <v>45758</v>
      </c>
      <c r="I144" s="13">
        <v>45770</v>
      </c>
      <c r="J144" s="14">
        <f t="shared" si="2"/>
        <v>12</v>
      </c>
      <c r="K144" s="62" t="s">
        <v>606</v>
      </c>
    </row>
    <row r="145" spans="1:11">
      <c r="A145" s="11" t="s">
        <v>176</v>
      </c>
      <c r="B145" s="11" t="s">
        <v>175</v>
      </c>
      <c r="C145" s="11" t="s">
        <v>294</v>
      </c>
      <c r="D145" s="11" t="s">
        <v>173</v>
      </c>
      <c r="E145" s="11" t="s">
        <v>604</v>
      </c>
      <c r="F145" s="11" t="s">
        <v>607</v>
      </c>
      <c r="G145" s="11" t="s">
        <v>168</v>
      </c>
      <c r="H145" s="13">
        <v>45806</v>
      </c>
      <c r="I145" s="13">
        <v>45806</v>
      </c>
      <c r="J145" s="14">
        <f t="shared" si="2"/>
        <v>0</v>
      </c>
      <c r="K145" s="11" t="s">
        <v>608</v>
      </c>
    </row>
    <row r="146" spans="1:11">
      <c r="A146" s="11" t="s">
        <v>176</v>
      </c>
      <c r="B146" s="11" t="s">
        <v>175</v>
      </c>
      <c r="C146" s="11" t="s">
        <v>294</v>
      </c>
      <c r="D146" s="11" t="s">
        <v>173</v>
      </c>
      <c r="E146" s="11" t="s">
        <v>604</v>
      </c>
      <c r="F146" s="11" t="s">
        <v>609</v>
      </c>
      <c r="G146" s="11" t="s">
        <v>168</v>
      </c>
      <c r="H146" s="13">
        <v>45770</v>
      </c>
      <c r="I146" s="13">
        <v>45770</v>
      </c>
      <c r="J146" s="14">
        <f t="shared" si="2"/>
        <v>0</v>
      </c>
      <c r="K146" s="11"/>
    </row>
    <row r="147" spans="1:11">
      <c r="A147" s="11" t="s">
        <v>176</v>
      </c>
      <c r="B147" s="11" t="s">
        <v>175</v>
      </c>
      <c r="C147" s="11" t="s">
        <v>294</v>
      </c>
      <c r="D147" s="11" t="s">
        <v>173</v>
      </c>
      <c r="E147" s="11" t="s">
        <v>604</v>
      </c>
      <c r="F147" s="11" t="s">
        <v>610</v>
      </c>
      <c r="G147" s="11" t="s">
        <v>168</v>
      </c>
      <c r="H147" s="13">
        <v>45806</v>
      </c>
      <c r="I147" s="13">
        <v>45806</v>
      </c>
      <c r="J147" s="14">
        <f t="shared" si="2"/>
        <v>0</v>
      </c>
      <c r="K147" s="11"/>
    </row>
    <row r="148" spans="1:11">
      <c r="A148" s="11" t="s">
        <v>176</v>
      </c>
      <c r="B148" s="11" t="s">
        <v>175</v>
      </c>
      <c r="C148" s="11" t="s">
        <v>294</v>
      </c>
      <c r="D148" s="11" t="s">
        <v>173</v>
      </c>
      <c r="E148" s="11" t="s">
        <v>604</v>
      </c>
      <c r="F148" s="11" t="s">
        <v>169</v>
      </c>
      <c r="G148" s="11" t="s">
        <v>178</v>
      </c>
      <c r="H148" s="13">
        <v>45806</v>
      </c>
      <c r="I148" s="13">
        <v>45806</v>
      </c>
      <c r="J148" s="14">
        <f t="shared" si="2"/>
        <v>0</v>
      </c>
      <c r="K148" s="11"/>
    </row>
    <row r="149" spans="1:11">
      <c r="A149" s="11" t="s">
        <v>176</v>
      </c>
      <c r="B149" s="11" t="s">
        <v>175</v>
      </c>
      <c r="C149" s="11" t="s">
        <v>294</v>
      </c>
      <c r="D149" s="11" t="s">
        <v>173</v>
      </c>
      <c r="E149" s="11" t="s">
        <v>604</v>
      </c>
      <c r="F149" s="11" t="s">
        <v>611</v>
      </c>
      <c r="G149" s="11" t="s">
        <v>178</v>
      </c>
      <c r="H149" s="13">
        <v>45806</v>
      </c>
      <c r="I149" s="13">
        <v>45806</v>
      </c>
      <c r="J149" s="14">
        <f t="shared" si="2"/>
        <v>0</v>
      </c>
      <c r="K149" s="11"/>
    </row>
    <row r="150" spans="1:11">
      <c r="A150" s="11" t="s">
        <v>176</v>
      </c>
      <c r="B150" s="11" t="s">
        <v>175</v>
      </c>
      <c r="C150" s="11" t="s">
        <v>294</v>
      </c>
      <c r="D150" s="11" t="s">
        <v>173</v>
      </c>
      <c r="E150" s="11" t="s">
        <v>604</v>
      </c>
      <c r="F150" s="11" t="s">
        <v>222</v>
      </c>
      <c r="G150" s="11" t="s">
        <v>178</v>
      </c>
      <c r="H150" s="13">
        <v>45806</v>
      </c>
      <c r="I150" s="13">
        <v>45806</v>
      </c>
      <c r="J150" s="14">
        <f t="shared" si="2"/>
        <v>0</v>
      </c>
      <c r="K150" s="11"/>
    </row>
    <row r="151" spans="1:11">
      <c r="A151" s="11" t="s">
        <v>176</v>
      </c>
      <c r="B151" s="11" t="s">
        <v>175</v>
      </c>
      <c r="C151" s="11" t="s">
        <v>294</v>
      </c>
      <c r="D151" s="11" t="s">
        <v>173</v>
      </c>
      <c r="E151" s="11" t="s">
        <v>604</v>
      </c>
      <c r="F151" s="11" t="s">
        <v>612</v>
      </c>
      <c r="G151" s="11" t="s">
        <v>168</v>
      </c>
      <c r="H151" s="13">
        <v>45776</v>
      </c>
      <c r="I151" s="13">
        <v>45776</v>
      </c>
      <c r="J151" s="14">
        <f t="shared" si="2"/>
        <v>0</v>
      </c>
      <c r="K151" s="11" t="s">
        <v>613</v>
      </c>
    </row>
  </sheetData>
  <autoFilter ref="A1:L89" xr:uid="{530721CC-F975-4AF0-ACF9-BF373E559216}"/>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68E3DCD-6AC8-4520-8299-02AFACD53174}">
          <x14:formula1>
            <xm:f>'C:\Users\Daljeet\Downloads\[ABP_FY''26 Issues v2 (1).xlsx]List'!#REF!</xm:f>
          </x14:formula1>
          <xm:sqref>G1:G43 G45:G76 G80 G82:G87 G144:G147 G151 G119:G139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69DFF-B7D2-4B33-BCD7-0AFCA9D61CEB}">
  <dimension ref="A1:L34"/>
  <sheetViews>
    <sheetView workbookViewId="0">
      <pane ySplit="1" topLeftCell="A2" activePane="bottomLeft" state="frozen"/>
      <selection activeCell="M3" sqref="M3"/>
      <selection pane="bottomLeft" activeCell="D1" sqref="D1:D1048576"/>
    </sheetView>
  </sheetViews>
  <sheetFormatPr defaultRowHeight="14.5"/>
  <cols>
    <col min="6" max="6" width="32.7265625" customWidth="1"/>
    <col min="7" max="7" width="15.81640625" customWidth="1"/>
    <col min="8" max="8" width="15.453125" bestFit="1" customWidth="1"/>
    <col min="9" max="9" width="10.453125" bestFit="1" customWidth="1"/>
    <col min="11" max="11" width="40.81640625" style="6" customWidth="1"/>
  </cols>
  <sheetData>
    <row r="1" spans="1:12">
      <c r="A1" s="61" t="s">
        <v>292</v>
      </c>
      <c r="B1" s="61" t="s">
        <v>291</v>
      </c>
      <c r="C1" s="61" t="s">
        <v>290</v>
      </c>
      <c r="D1" s="61" t="s">
        <v>289</v>
      </c>
      <c r="E1" s="61" t="s">
        <v>288</v>
      </c>
      <c r="F1" s="61" t="s">
        <v>287</v>
      </c>
      <c r="G1" s="127" t="s">
        <v>286</v>
      </c>
      <c r="H1" s="60" t="s">
        <v>313</v>
      </c>
      <c r="I1" s="61" t="s">
        <v>284</v>
      </c>
      <c r="J1" s="128" t="s">
        <v>283</v>
      </c>
      <c r="K1" s="129" t="s">
        <v>159</v>
      </c>
    </row>
    <row r="2" spans="1:12" ht="45.75" customHeight="1">
      <c r="A2" s="76" t="s">
        <v>167</v>
      </c>
      <c r="B2" s="65" t="s">
        <v>425</v>
      </c>
      <c r="C2" s="65" t="s">
        <v>251</v>
      </c>
      <c r="D2" s="65" t="s">
        <v>398</v>
      </c>
      <c r="E2" s="83" t="s">
        <v>474</v>
      </c>
      <c r="F2" s="112" t="s">
        <v>99</v>
      </c>
      <c r="G2" s="65" t="s">
        <v>178</v>
      </c>
      <c r="H2" s="81">
        <v>45779</v>
      </c>
      <c r="I2" s="81">
        <v>45779</v>
      </c>
      <c r="J2" s="65">
        <f t="shared" ref="J2:J20" si="0">I2-H2</f>
        <v>0</v>
      </c>
      <c r="K2" s="112" t="s">
        <v>614</v>
      </c>
      <c r="L2" s="6"/>
    </row>
    <row r="3" spans="1:12" ht="112.5">
      <c r="A3" s="76" t="s">
        <v>167</v>
      </c>
      <c r="B3" s="65" t="s">
        <v>425</v>
      </c>
      <c r="C3" s="65" t="s">
        <v>251</v>
      </c>
      <c r="D3" s="65" t="s">
        <v>398</v>
      </c>
      <c r="E3" s="83" t="s">
        <v>474</v>
      </c>
      <c r="F3" s="112" t="s">
        <v>615</v>
      </c>
      <c r="G3" s="65" t="s">
        <v>168</v>
      </c>
      <c r="H3" s="81">
        <v>45782</v>
      </c>
      <c r="I3" s="81">
        <v>45782</v>
      </c>
      <c r="J3" s="65">
        <f t="shared" si="0"/>
        <v>0</v>
      </c>
      <c r="K3" s="113" t="s">
        <v>616</v>
      </c>
      <c r="L3" s="6"/>
    </row>
    <row r="4" spans="1:12" ht="29">
      <c r="A4" s="76" t="s">
        <v>167</v>
      </c>
      <c r="B4" s="65" t="s">
        <v>425</v>
      </c>
      <c r="C4" s="65" t="s">
        <v>251</v>
      </c>
      <c r="D4" s="65" t="s">
        <v>398</v>
      </c>
      <c r="E4" s="83" t="s">
        <v>464</v>
      </c>
      <c r="F4" s="113" t="s">
        <v>617</v>
      </c>
      <c r="G4" s="65" t="s">
        <v>315</v>
      </c>
      <c r="H4" s="81">
        <v>45785</v>
      </c>
      <c r="I4" s="81">
        <v>45785</v>
      </c>
      <c r="J4" s="65">
        <f t="shared" si="0"/>
        <v>0</v>
      </c>
      <c r="K4" s="112" t="s">
        <v>618</v>
      </c>
      <c r="L4" s="6"/>
    </row>
    <row r="5" spans="1:12" ht="42.5">
      <c r="A5" s="76" t="s">
        <v>167</v>
      </c>
      <c r="B5" s="65" t="s">
        <v>425</v>
      </c>
      <c r="C5" s="65" t="s">
        <v>251</v>
      </c>
      <c r="D5" s="65" t="s">
        <v>398</v>
      </c>
      <c r="E5" s="83" t="s">
        <v>464</v>
      </c>
      <c r="F5" s="113" t="s">
        <v>124</v>
      </c>
      <c r="G5" s="65" t="s">
        <v>178</v>
      </c>
      <c r="H5" s="81">
        <v>45785</v>
      </c>
      <c r="I5" s="81">
        <v>45785</v>
      </c>
      <c r="J5" s="65">
        <f t="shared" si="0"/>
        <v>0</v>
      </c>
      <c r="K5" s="113" t="s">
        <v>123</v>
      </c>
      <c r="L5" s="6"/>
    </row>
    <row r="6" spans="1:12" ht="29">
      <c r="A6" s="76" t="s">
        <v>167</v>
      </c>
      <c r="B6" s="65" t="s">
        <v>425</v>
      </c>
      <c r="C6" s="65" t="s">
        <v>251</v>
      </c>
      <c r="D6" s="65" t="s">
        <v>398</v>
      </c>
      <c r="E6" s="83" t="s">
        <v>464</v>
      </c>
      <c r="F6" s="113" t="s">
        <v>619</v>
      </c>
      <c r="G6" s="65" t="s">
        <v>168</v>
      </c>
      <c r="H6" s="81">
        <v>45785</v>
      </c>
      <c r="I6" s="81">
        <v>45785</v>
      </c>
      <c r="J6" s="65">
        <f t="shared" si="0"/>
        <v>0</v>
      </c>
      <c r="K6" s="113" t="s">
        <v>620</v>
      </c>
      <c r="L6" s="6"/>
    </row>
    <row r="7" spans="1:12" ht="56.5">
      <c r="A7" s="76" t="s">
        <v>167</v>
      </c>
      <c r="B7" s="65" t="s">
        <v>425</v>
      </c>
      <c r="C7" s="65" t="s">
        <v>251</v>
      </c>
      <c r="D7" s="65" t="s">
        <v>398</v>
      </c>
      <c r="E7" s="83" t="s">
        <v>464</v>
      </c>
      <c r="F7" s="113" t="s">
        <v>621</v>
      </c>
      <c r="G7" s="65" t="s">
        <v>178</v>
      </c>
      <c r="H7" s="81">
        <v>45785</v>
      </c>
      <c r="I7" s="81">
        <v>45785</v>
      </c>
      <c r="J7" s="65">
        <f t="shared" si="0"/>
        <v>0</v>
      </c>
      <c r="K7" s="113" t="s">
        <v>622</v>
      </c>
      <c r="L7" s="6"/>
    </row>
    <row r="8" spans="1:12" ht="70.5">
      <c r="A8" s="76" t="s">
        <v>167</v>
      </c>
      <c r="B8" s="65" t="s">
        <v>425</v>
      </c>
      <c r="C8" s="65" t="s">
        <v>251</v>
      </c>
      <c r="D8" s="65" t="s">
        <v>398</v>
      </c>
      <c r="E8" s="83" t="s">
        <v>464</v>
      </c>
      <c r="F8" s="113" t="s">
        <v>623</v>
      </c>
      <c r="G8" s="65" t="s">
        <v>178</v>
      </c>
      <c r="H8" s="81">
        <v>45785</v>
      </c>
      <c r="I8" s="81">
        <v>45785</v>
      </c>
      <c r="J8" s="65">
        <f t="shared" si="0"/>
        <v>0</v>
      </c>
      <c r="K8" s="113" t="s">
        <v>624</v>
      </c>
      <c r="L8" s="6"/>
    </row>
    <row r="9" spans="1:12" ht="70.5">
      <c r="A9" s="76" t="s">
        <v>167</v>
      </c>
      <c r="B9" s="65" t="s">
        <v>425</v>
      </c>
      <c r="C9" s="65" t="s">
        <v>251</v>
      </c>
      <c r="D9" s="65" t="s">
        <v>398</v>
      </c>
      <c r="E9" s="83" t="s">
        <v>464</v>
      </c>
      <c r="F9" s="113" t="s">
        <v>625</v>
      </c>
      <c r="G9" s="65" t="s">
        <v>315</v>
      </c>
      <c r="H9" s="81">
        <v>45785</v>
      </c>
      <c r="I9" s="81">
        <v>45785</v>
      </c>
      <c r="J9" s="65">
        <f t="shared" si="0"/>
        <v>0</v>
      </c>
      <c r="K9" s="113" t="s">
        <v>624</v>
      </c>
      <c r="L9" s="6"/>
    </row>
    <row r="10" spans="1:12" ht="182.5">
      <c r="A10" s="76" t="s">
        <v>167</v>
      </c>
      <c r="B10" s="65" t="s">
        <v>425</v>
      </c>
      <c r="C10" s="65" t="s">
        <v>251</v>
      </c>
      <c r="D10" s="65" t="s">
        <v>398</v>
      </c>
      <c r="E10" s="83" t="s">
        <v>464</v>
      </c>
      <c r="F10" s="113" t="s">
        <v>626</v>
      </c>
      <c r="G10" s="65" t="s">
        <v>168</v>
      </c>
      <c r="H10" s="81">
        <v>45789</v>
      </c>
      <c r="I10" s="81">
        <v>45789</v>
      </c>
      <c r="J10" s="65">
        <f t="shared" si="0"/>
        <v>0</v>
      </c>
      <c r="K10" s="130" t="s">
        <v>627</v>
      </c>
      <c r="L10" s="6"/>
    </row>
    <row r="11" spans="1:12" ht="29">
      <c r="A11" s="76" t="s">
        <v>167</v>
      </c>
      <c r="B11" s="65" t="s">
        <v>425</v>
      </c>
      <c r="C11" s="65" t="s">
        <v>251</v>
      </c>
      <c r="D11" s="65" t="s">
        <v>398</v>
      </c>
      <c r="E11" s="83" t="s">
        <v>464</v>
      </c>
      <c r="F11" s="113" t="s">
        <v>628</v>
      </c>
      <c r="G11" s="65" t="s">
        <v>178</v>
      </c>
      <c r="H11" s="81">
        <v>45789</v>
      </c>
      <c r="I11" s="81">
        <v>45789</v>
      </c>
      <c r="J11" s="65">
        <f t="shared" si="0"/>
        <v>0</v>
      </c>
      <c r="K11" s="113" t="s">
        <v>629</v>
      </c>
      <c r="L11" s="6"/>
    </row>
    <row r="12" spans="1:12" ht="42.5">
      <c r="A12" s="76" t="s">
        <v>167</v>
      </c>
      <c r="B12" s="65" t="s">
        <v>425</v>
      </c>
      <c r="C12" s="65" t="s">
        <v>251</v>
      </c>
      <c r="D12" s="65" t="s">
        <v>398</v>
      </c>
      <c r="E12" s="83" t="s">
        <v>464</v>
      </c>
      <c r="F12" s="113" t="s">
        <v>630</v>
      </c>
      <c r="G12" s="65" t="s">
        <v>178</v>
      </c>
      <c r="H12" s="81">
        <v>45789</v>
      </c>
      <c r="I12" s="81">
        <v>45789</v>
      </c>
      <c r="J12" s="65">
        <f t="shared" si="0"/>
        <v>0</v>
      </c>
      <c r="K12" s="113" t="s">
        <v>631</v>
      </c>
      <c r="L12" s="6"/>
    </row>
    <row r="13" spans="1:12" ht="42.5">
      <c r="A13" s="76" t="s">
        <v>167</v>
      </c>
      <c r="B13" s="65" t="s">
        <v>425</v>
      </c>
      <c r="C13" s="65" t="s">
        <v>251</v>
      </c>
      <c r="D13" s="65" t="s">
        <v>398</v>
      </c>
      <c r="E13" s="83" t="s">
        <v>464</v>
      </c>
      <c r="F13" s="113" t="s">
        <v>126</v>
      </c>
      <c r="G13" s="65" t="s">
        <v>178</v>
      </c>
      <c r="H13" s="81">
        <v>45789</v>
      </c>
      <c r="I13" s="81">
        <v>45789</v>
      </c>
      <c r="J13" s="65">
        <f t="shared" si="0"/>
        <v>0</v>
      </c>
      <c r="K13" s="113" t="s">
        <v>125</v>
      </c>
      <c r="L13" s="6"/>
    </row>
    <row r="14" spans="1:12" ht="42">
      <c r="A14" s="76" t="s">
        <v>167</v>
      </c>
      <c r="B14" s="65" t="s">
        <v>425</v>
      </c>
      <c r="C14" s="65" t="s">
        <v>199</v>
      </c>
      <c r="D14" s="65" t="s">
        <v>398</v>
      </c>
      <c r="E14" s="83" t="s">
        <v>424</v>
      </c>
      <c r="F14" s="88" t="s">
        <v>63</v>
      </c>
      <c r="G14" s="65" t="s">
        <v>168</v>
      </c>
      <c r="H14" s="81">
        <v>45797</v>
      </c>
      <c r="I14" s="81">
        <v>45797</v>
      </c>
      <c r="J14" s="65">
        <f t="shared" si="0"/>
        <v>0</v>
      </c>
      <c r="K14" s="80" t="s">
        <v>62</v>
      </c>
      <c r="L14" s="88"/>
    </row>
    <row r="15" spans="1:12" ht="56.5">
      <c r="A15" s="76" t="s">
        <v>167</v>
      </c>
      <c r="B15" s="65" t="s">
        <v>425</v>
      </c>
      <c r="C15" s="65" t="s">
        <v>276</v>
      </c>
      <c r="D15" s="65" t="s">
        <v>398</v>
      </c>
      <c r="E15" s="83" t="s">
        <v>426</v>
      </c>
      <c r="F15" s="23" t="s">
        <v>632</v>
      </c>
      <c r="G15" s="65" t="s">
        <v>178</v>
      </c>
      <c r="H15" s="81">
        <v>45797</v>
      </c>
      <c r="I15" s="81">
        <v>45797</v>
      </c>
      <c r="J15" s="20">
        <f t="shared" si="0"/>
        <v>0</v>
      </c>
      <c r="K15" s="113" t="s">
        <v>633</v>
      </c>
      <c r="L15" s="23"/>
    </row>
    <row r="16" spans="1:12" ht="56.5">
      <c r="A16" s="76" t="s">
        <v>167</v>
      </c>
      <c r="B16" s="65" t="s">
        <v>425</v>
      </c>
      <c r="C16" s="65" t="s">
        <v>276</v>
      </c>
      <c r="D16" s="65" t="s">
        <v>398</v>
      </c>
      <c r="E16" s="83" t="s">
        <v>426</v>
      </c>
      <c r="F16" s="23" t="s">
        <v>634</v>
      </c>
      <c r="G16" s="65" t="s">
        <v>168</v>
      </c>
      <c r="H16" s="81">
        <v>45797</v>
      </c>
      <c r="I16" s="81">
        <v>45797</v>
      </c>
      <c r="J16" s="20">
        <f t="shared" si="0"/>
        <v>0</v>
      </c>
      <c r="K16" s="113" t="s">
        <v>635</v>
      </c>
      <c r="L16" s="23"/>
    </row>
    <row r="17" spans="1:12" ht="56.5">
      <c r="A17" s="76" t="s">
        <v>167</v>
      </c>
      <c r="B17" s="65" t="s">
        <v>425</v>
      </c>
      <c r="C17" s="65" t="s">
        <v>251</v>
      </c>
      <c r="D17" s="65" t="s">
        <v>398</v>
      </c>
      <c r="E17" s="83" t="s">
        <v>464</v>
      </c>
      <c r="F17" s="113" t="s">
        <v>636</v>
      </c>
      <c r="G17" s="65" t="s">
        <v>178</v>
      </c>
      <c r="H17" s="81">
        <v>45797</v>
      </c>
      <c r="I17" s="81">
        <v>45797</v>
      </c>
      <c r="J17" s="65">
        <f t="shared" si="0"/>
        <v>0</v>
      </c>
      <c r="K17" s="113" t="s">
        <v>637</v>
      </c>
      <c r="L17" s="6"/>
    </row>
    <row r="18" spans="1:12" ht="56.5">
      <c r="A18" s="76" t="s">
        <v>167</v>
      </c>
      <c r="B18" s="65" t="s">
        <v>425</v>
      </c>
      <c r="C18" s="65" t="s">
        <v>251</v>
      </c>
      <c r="D18" s="65" t="s">
        <v>398</v>
      </c>
      <c r="E18" s="83" t="s">
        <v>464</v>
      </c>
      <c r="F18" s="113" t="s">
        <v>638</v>
      </c>
      <c r="G18" s="65" t="s">
        <v>178</v>
      </c>
      <c r="H18" s="81">
        <v>45803</v>
      </c>
      <c r="I18" s="81">
        <v>45803</v>
      </c>
      <c r="J18" s="65">
        <f t="shared" si="0"/>
        <v>0</v>
      </c>
      <c r="K18" s="113" t="s">
        <v>633</v>
      </c>
      <c r="L18" s="6"/>
    </row>
    <row r="19" spans="1:12" ht="56.5">
      <c r="A19" s="76" t="s">
        <v>167</v>
      </c>
      <c r="B19" s="65" t="s">
        <v>425</v>
      </c>
      <c r="C19" s="65" t="s">
        <v>251</v>
      </c>
      <c r="D19" s="65" t="s">
        <v>398</v>
      </c>
      <c r="E19" s="83" t="s">
        <v>464</v>
      </c>
      <c r="F19" s="23" t="s">
        <v>634</v>
      </c>
      <c r="G19" s="65" t="s">
        <v>178</v>
      </c>
      <c r="H19" s="81">
        <v>45804</v>
      </c>
      <c r="I19" s="81">
        <v>45804</v>
      </c>
      <c r="J19" s="20">
        <f t="shared" si="0"/>
        <v>0</v>
      </c>
      <c r="K19" s="113" t="s">
        <v>639</v>
      </c>
      <c r="L19" s="23"/>
    </row>
    <row r="20" spans="1:12" ht="28">
      <c r="A20" s="76" t="s">
        <v>167</v>
      </c>
      <c r="B20" s="23" t="s">
        <v>35</v>
      </c>
      <c r="C20" s="23" t="s">
        <v>640</v>
      </c>
      <c r="D20" s="23" t="s">
        <v>442</v>
      </c>
      <c r="E20" s="110" t="s">
        <v>490</v>
      </c>
      <c r="F20" s="18" t="s">
        <v>641</v>
      </c>
      <c r="G20" s="65" t="s">
        <v>178</v>
      </c>
      <c r="H20" s="49">
        <v>45798</v>
      </c>
      <c r="I20" s="49">
        <v>45798</v>
      </c>
      <c r="J20" s="20">
        <f t="shared" si="0"/>
        <v>0</v>
      </c>
    </row>
    <row r="21" spans="1:12" ht="42.5">
      <c r="A21" s="76" t="s">
        <v>167</v>
      </c>
      <c r="B21" s="23" t="s">
        <v>35</v>
      </c>
      <c r="C21" s="23" t="s">
        <v>640</v>
      </c>
      <c r="D21" s="23" t="s">
        <v>442</v>
      </c>
      <c r="E21" s="110" t="s">
        <v>490</v>
      </c>
      <c r="F21" s="87" t="s">
        <v>642</v>
      </c>
      <c r="G21" s="65" t="s">
        <v>178</v>
      </c>
      <c r="H21" s="49">
        <v>45797</v>
      </c>
      <c r="I21" s="49">
        <v>45798</v>
      </c>
      <c r="J21" s="131">
        <f>I21-H21</f>
        <v>1</v>
      </c>
      <c r="K21" s="88"/>
    </row>
    <row r="22" spans="1:12">
      <c r="A22" s="23" t="s">
        <v>167</v>
      </c>
      <c r="B22" s="23" t="s">
        <v>420</v>
      </c>
      <c r="C22" s="23" t="s">
        <v>251</v>
      </c>
      <c r="D22" s="23" t="s">
        <v>419</v>
      </c>
      <c r="E22" s="23" t="s">
        <v>534</v>
      </c>
      <c r="F22" s="23" t="s">
        <v>643</v>
      </c>
      <c r="G22" s="65" t="s">
        <v>178</v>
      </c>
      <c r="H22" s="49">
        <v>45785</v>
      </c>
      <c r="I22" s="53">
        <v>45790</v>
      </c>
      <c r="J22" s="131">
        <f>I22-H22</f>
        <v>5</v>
      </c>
      <c r="K22" s="88"/>
    </row>
    <row r="23" spans="1:12">
      <c r="A23" s="37">
        <v>7829627</v>
      </c>
      <c r="B23" s="36" t="s">
        <v>269</v>
      </c>
      <c r="C23" s="23" t="s">
        <v>251</v>
      </c>
      <c r="D23" s="36" t="s">
        <v>267</v>
      </c>
      <c r="E23" s="23" t="s">
        <v>644</v>
      </c>
      <c r="F23" s="36" t="s">
        <v>645</v>
      </c>
      <c r="G23" s="65" t="s">
        <v>162</v>
      </c>
      <c r="H23" s="49">
        <v>45793</v>
      </c>
      <c r="I23" s="53">
        <v>45793</v>
      </c>
      <c r="J23" s="123">
        <v>9.6999999999999993</v>
      </c>
      <c r="K23" s="88"/>
    </row>
    <row r="24" spans="1:12" ht="29">
      <c r="A24" s="37">
        <v>7796028</v>
      </c>
      <c r="B24" s="36" t="s">
        <v>55</v>
      </c>
      <c r="C24" s="36" t="s">
        <v>55</v>
      </c>
      <c r="D24" t="s">
        <v>398</v>
      </c>
      <c r="E24" s="36" t="s">
        <v>397</v>
      </c>
      <c r="F24" s="36" t="s">
        <v>643</v>
      </c>
      <c r="G24" s="65" t="s">
        <v>168</v>
      </c>
      <c r="H24" s="49">
        <v>45801</v>
      </c>
      <c r="I24" s="49">
        <v>45801</v>
      </c>
      <c r="J24" s="123">
        <v>0</v>
      </c>
      <c r="K24" s="65" t="s">
        <v>364</v>
      </c>
    </row>
    <row r="25" spans="1:12">
      <c r="A25" s="23" t="s">
        <v>167</v>
      </c>
      <c r="B25" s="23" t="s">
        <v>247</v>
      </c>
      <c r="C25" s="23" t="s">
        <v>251</v>
      </c>
      <c r="D25" s="23" t="s">
        <v>259</v>
      </c>
      <c r="E25" s="23" t="s">
        <v>646</v>
      </c>
      <c r="F25" s="23" t="s">
        <v>647</v>
      </c>
      <c r="G25" s="65" t="s">
        <v>178</v>
      </c>
      <c r="H25" s="49">
        <v>45800</v>
      </c>
      <c r="I25" s="53">
        <v>45801</v>
      </c>
      <c r="J25" s="123">
        <v>1</v>
      </c>
      <c r="K25" s="88" t="s">
        <v>546</v>
      </c>
    </row>
    <row r="26" spans="1:12">
      <c r="A26" s="26">
        <v>7886601</v>
      </c>
      <c r="B26" s="22" t="s">
        <v>254</v>
      </c>
      <c r="C26" t="s">
        <v>1</v>
      </c>
      <c r="D26" s="25" t="s">
        <v>250</v>
      </c>
      <c r="E26" s="22" t="s">
        <v>250</v>
      </c>
      <c r="F26" s="22" t="s">
        <v>648</v>
      </c>
      <c r="G26" s="23" t="s">
        <v>315</v>
      </c>
      <c r="H26" s="75">
        <v>45799</v>
      </c>
      <c r="I26" s="132">
        <v>45800</v>
      </c>
      <c r="J26" s="15">
        <v>1</v>
      </c>
      <c r="K26"/>
    </row>
    <row r="27" spans="1:12">
      <c r="A27" s="23" t="s">
        <v>649</v>
      </c>
      <c r="B27" s="23" t="s">
        <v>254</v>
      </c>
      <c r="C27" s="23" t="s">
        <v>382</v>
      </c>
      <c r="D27" s="23" t="s">
        <v>250</v>
      </c>
      <c r="E27" s="23" t="s">
        <v>381</v>
      </c>
      <c r="F27" s="23" t="s">
        <v>650</v>
      </c>
      <c r="G27" s="23" t="s">
        <v>178</v>
      </c>
      <c r="H27" s="75">
        <v>45799</v>
      </c>
      <c r="I27" s="132">
        <v>45800</v>
      </c>
      <c r="J27" s="15">
        <v>1</v>
      </c>
      <c r="K27" s="88"/>
    </row>
    <row r="28" spans="1:12">
      <c r="A28" s="11" t="s">
        <v>176</v>
      </c>
      <c r="B28" s="11" t="s">
        <v>175</v>
      </c>
      <c r="C28" s="11" t="s">
        <v>23</v>
      </c>
      <c r="D28" s="11" t="s">
        <v>173</v>
      </c>
      <c r="E28" s="11" t="s">
        <v>351</v>
      </c>
      <c r="F28" s="11" t="s">
        <v>651</v>
      </c>
      <c r="G28" s="11" t="s">
        <v>168</v>
      </c>
      <c r="H28" s="13">
        <v>45813</v>
      </c>
      <c r="I28" s="13">
        <v>45813</v>
      </c>
      <c r="J28" s="12"/>
      <c r="K28" s="11" t="s">
        <v>652</v>
      </c>
    </row>
    <row r="29" spans="1:12">
      <c r="A29" s="11" t="s">
        <v>176</v>
      </c>
      <c r="B29" s="11" t="s">
        <v>175</v>
      </c>
      <c r="C29" s="11" t="s">
        <v>294</v>
      </c>
      <c r="D29" s="11" t="s">
        <v>173</v>
      </c>
      <c r="E29" s="11" t="s">
        <v>604</v>
      </c>
      <c r="F29" s="11" t="s">
        <v>653</v>
      </c>
      <c r="G29" s="11" t="s">
        <v>168</v>
      </c>
      <c r="H29" s="13">
        <v>45805</v>
      </c>
      <c r="I29" s="13">
        <v>45807</v>
      </c>
      <c r="J29" s="14">
        <f>I29-H29</f>
        <v>2</v>
      </c>
      <c r="K29" s="133" t="s">
        <v>654</v>
      </c>
    </row>
    <row r="30" spans="1:12">
      <c r="A30" s="23"/>
      <c r="B30" s="23"/>
      <c r="C30" s="23"/>
      <c r="D30" s="23"/>
      <c r="E30" s="23"/>
      <c r="F30" s="23"/>
      <c r="G30" s="23"/>
      <c r="H30" s="49"/>
      <c r="I30" s="23"/>
      <c r="J30" s="23"/>
      <c r="K30" s="88"/>
    </row>
    <row r="31" spans="1:12">
      <c r="A31" s="23"/>
      <c r="B31" s="23"/>
      <c r="C31" s="23"/>
      <c r="D31" s="23"/>
      <c r="E31" s="23"/>
      <c r="F31" s="23"/>
      <c r="G31" s="23"/>
      <c r="H31" s="49"/>
      <c r="I31" s="23"/>
      <c r="J31" s="23"/>
      <c r="K31" s="88"/>
    </row>
    <row r="32" spans="1:12">
      <c r="A32" s="23"/>
      <c r="B32" s="23"/>
      <c r="C32" s="23"/>
      <c r="D32" s="23"/>
      <c r="E32" s="23"/>
      <c r="F32" s="23"/>
      <c r="G32" s="23"/>
      <c r="H32" s="49"/>
      <c r="I32" s="23"/>
      <c r="J32" s="23"/>
      <c r="K32" s="88"/>
    </row>
    <row r="33" spans="1:11">
      <c r="A33" s="23"/>
      <c r="B33" s="23"/>
      <c r="C33" s="23"/>
      <c r="D33" s="23"/>
      <c r="E33" s="23"/>
      <c r="F33" s="23"/>
      <c r="G33" s="23"/>
      <c r="H33" s="49"/>
      <c r="I33" s="23"/>
      <c r="J33" s="23"/>
      <c r="K33" s="88"/>
    </row>
    <row r="34" spans="1:11">
      <c r="H34" s="16"/>
    </row>
  </sheetData>
  <autoFilter ref="A1:L29" xr:uid="{F3D777A3-1791-4517-90D9-1A985A9582FB}"/>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3BCBD85-FAE3-463A-B981-C3244BF3A6F7}">
          <x14:formula1>
            <xm:f>'C:\Users\Daljeet\Downloads\[ABP_FY''26 Issues v2 (1).xlsx]List'!#REF!</xm:f>
          </x14:formula1>
          <xm:sqref>G1:G29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CBDEC-49A5-4226-9C73-BA088B48D509}">
  <dimension ref="A1:K11"/>
  <sheetViews>
    <sheetView workbookViewId="0">
      <selection activeCell="C1" sqref="C1:C1048576"/>
    </sheetView>
  </sheetViews>
  <sheetFormatPr defaultRowHeight="14.5"/>
  <cols>
    <col min="1" max="1" width="11.26953125" customWidth="1"/>
    <col min="4" max="4" width="11.54296875" bestFit="1" customWidth="1"/>
    <col min="6" max="6" width="24.54296875" customWidth="1"/>
    <col min="7" max="7" width="28" customWidth="1"/>
    <col min="9" max="9" width="11.26953125" bestFit="1" customWidth="1"/>
    <col min="11" max="11" width="36.54296875" bestFit="1" customWidth="1"/>
  </cols>
  <sheetData>
    <row r="1" spans="1:11">
      <c r="A1" s="61" t="s">
        <v>292</v>
      </c>
      <c r="B1" s="61" t="s">
        <v>291</v>
      </c>
      <c r="C1" s="61" t="s">
        <v>290</v>
      </c>
      <c r="D1" s="61" t="s">
        <v>289</v>
      </c>
      <c r="E1" s="61" t="s">
        <v>288</v>
      </c>
      <c r="F1" s="61" t="s">
        <v>287</v>
      </c>
      <c r="G1" s="127" t="s">
        <v>286</v>
      </c>
      <c r="H1" s="60" t="s">
        <v>313</v>
      </c>
      <c r="I1" s="61" t="s">
        <v>284</v>
      </c>
      <c r="J1" s="128" t="s">
        <v>283</v>
      </c>
      <c r="K1" s="129" t="s">
        <v>159</v>
      </c>
    </row>
    <row r="2" spans="1:11">
      <c r="A2" s="11" t="s">
        <v>176</v>
      </c>
      <c r="B2" s="11" t="s">
        <v>175</v>
      </c>
      <c r="C2" s="11" t="s">
        <v>294</v>
      </c>
      <c r="D2" s="11" t="s">
        <v>173</v>
      </c>
      <c r="E2" s="11" t="s">
        <v>604</v>
      </c>
      <c r="F2" s="11" t="s">
        <v>655</v>
      </c>
      <c r="G2" s="11" t="s">
        <v>168</v>
      </c>
      <c r="H2" s="13">
        <v>45811</v>
      </c>
      <c r="I2" s="13">
        <v>45811</v>
      </c>
      <c r="J2" s="14">
        <f>I2-H2</f>
        <v>0</v>
      </c>
      <c r="K2" s="11" t="s">
        <v>656</v>
      </c>
    </row>
    <row r="3" spans="1:11">
      <c r="A3" s="11" t="s">
        <v>176</v>
      </c>
      <c r="B3" s="11" t="s">
        <v>175</v>
      </c>
      <c r="C3" s="11" t="s">
        <v>294</v>
      </c>
      <c r="D3" s="11" t="s">
        <v>173</v>
      </c>
      <c r="E3" s="11" t="s">
        <v>604</v>
      </c>
      <c r="F3" s="11" t="s">
        <v>657</v>
      </c>
      <c r="G3" s="11" t="s">
        <v>168</v>
      </c>
      <c r="H3" s="13">
        <v>45810</v>
      </c>
      <c r="I3" s="13">
        <v>45810</v>
      </c>
      <c r="J3" s="14">
        <f>I3-H3</f>
        <v>0</v>
      </c>
      <c r="K3" s="11" t="s">
        <v>658</v>
      </c>
    </row>
    <row r="4" spans="1:11" ht="29">
      <c r="A4">
        <v>7960667</v>
      </c>
      <c r="B4" t="s">
        <v>1</v>
      </c>
      <c r="C4" t="s">
        <v>659</v>
      </c>
      <c r="D4" t="s">
        <v>660</v>
      </c>
      <c r="F4" s="134" t="s">
        <v>661</v>
      </c>
      <c r="G4" s="11" t="s">
        <v>168</v>
      </c>
      <c r="H4" s="135">
        <v>45818</v>
      </c>
      <c r="I4" s="135">
        <v>45827</v>
      </c>
      <c r="J4" s="14">
        <f t="shared" ref="J4:J10" si="0">I4-H4</f>
        <v>9</v>
      </c>
      <c r="K4" s="6" t="s">
        <v>662</v>
      </c>
    </row>
    <row r="5" spans="1:11" ht="72.5">
      <c r="A5">
        <v>7979684</v>
      </c>
      <c r="B5" t="s">
        <v>1</v>
      </c>
      <c r="D5" t="s">
        <v>660</v>
      </c>
      <c r="F5" s="134" t="s">
        <v>663</v>
      </c>
      <c r="G5" s="11" t="s">
        <v>168</v>
      </c>
      <c r="H5" s="135">
        <v>45824</v>
      </c>
      <c r="I5" s="135">
        <v>45827</v>
      </c>
      <c r="J5" s="14">
        <f t="shared" si="0"/>
        <v>3</v>
      </c>
      <c r="K5" s="6" t="s">
        <v>664</v>
      </c>
    </row>
    <row r="6" spans="1:11" ht="29">
      <c r="A6">
        <v>7981999</v>
      </c>
      <c r="B6" t="s">
        <v>1</v>
      </c>
      <c r="D6" t="s">
        <v>660</v>
      </c>
      <c r="F6" s="134" t="s">
        <v>665</v>
      </c>
      <c r="G6" s="11" t="s">
        <v>162</v>
      </c>
      <c r="H6" s="135">
        <v>45824</v>
      </c>
      <c r="I6" s="135">
        <v>45828</v>
      </c>
      <c r="J6" s="14">
        <f t="shared" si="0"/>
        <v>4</v>
      </c>
      <c r="K6" s="6" t="s">
        <v>666</v>
      </c>
    </row>
    <row r="7" spans="1:11" ht="130.5">
      <c r="A7" s="6">
        <v>7993057</v>
      </c>
      <c r="B7" t="s">
        <v>1</v>
      </c>
      <c r="D7" t="s">
        <v>660</v>
      </c>
      <c r="F7" s="134" t="s">
        <v>667</v>
      </c>
      <c r="G7" t="s">
        <v>162</v>
      </c>
      <c r="H7" s="135">
        <v>45827</v>
      </c>
      <c r="I7" s="135">
        <v>45828</v>
      </c>
      <c r="J7" s="14">
        <f t="shared" si="0"/>
        <v>1</v>
      </c>
      <c r="K7" s="6" t="s">
        <v>668</v>
      </c>
    </row>
    <row r="8" spans="1:11" ht="29">
      <c r="A8" t="s">
        <v>167</v>
      </c>
      <c r="B8" t="s">
        <v>1</v>
      </c>
      <c r="D8" t="s">
        <v>660</v>
      </c>
      <c r="F8" s="6" t="s">
        <v>669</v>
      </c>
      <c r="G8" s="11" t="s">
        <v>178</v>
      </c>
      <c r="H8" s="135">
        <v>45824</v>
      </c>
      <c r="I8" s="125">
        <v>45825</v>
      </c>
      <c r="J8" s="14">
        <f t="shared" si="0"/>
        <v>1</v>
      </c>
      <c r="K8" s="6" t="s">
        <v>670</v>
      </c>
    </row>
    <row r="9" spans="1:11">
      <c r="A9" s="136">
        <v>7997897</v>
      </c>
      <c r="B9" t="s">
        <v>52</v>
      </c>
      <c r="C9" t="s">
        <v>52</v>
      </c>
      <c r="D9" t="s">
        <v>250</v>
      </c>
      <c r="E9" t="s">
        <v>274</v>
      </c>
      <c r="F9" t="s">
        <v>671</v>
      </c>
      <c r="G9" s="11" t="s">
        <v>168</v>
      </c>
      <c r="H9" s="125">
        <v>45828</v>
      </c>
      <c r="I9" s="125"/>
      <c r="J9" s="14">
        <f t="shared" si="0"/>
        <v>-45828</v>
      </c>
    </row>
    <row r="10" spans="1:11">
      <c r="A10">
        <v>7997293</v>
      </c>
      <c r="B10" t="s">
        <v>175</v>
      </c>
      <c r="C10" t="s">
        <v>23</v>
      </c>
      <c r="D10" t="s">
        <v>672</v>
      </c>
      <c r="E10" t="s">
        <v>274</v>
      </c>
      <c r="F10" t="s">
        <v>673</v>
      </c>
      <c r="G10" s="11"/>
      <c r="H10" s="125">
        <v>45828</v>
      </c>
      <c r="I10" s="125">
        <v>45828</v>
      </c>
      <c r="J10" s="14">
        <f t="shared" si="0"/>
        <v>0</v>
      </c>
    </row>
    <row r="11" spans="1:11">
      <c r="A11" t="s">
        <v>302</v>
      </c>
      <c r="B11" t="s">
        <v>674</v>
      </c>
      <c r="C11" t="s">
        <v>675</v>
      </c>
      <c r="D11" t="s">
        <v>305</v>
      </c>
      <c r="E11" t="s">
        <v>676</v>
      </c>
      <c r="F11" t="s">
        <v>677</v>
      </c>
      <c r="G11" s="11" t="s">
        <v>168</v>
      </c>
      <c r="H11" s="125">
        <v>45825</v>
      </c>
      <c r="I11" s="125"/>
      <c r="K11" t="s">
        <v>678</v>
      </c>
    </row>
  </sheetData>
  <hyperlinks>
    <hyperlink ref="A9" r:id="rId1" display="7997897" xr:uid="{B815E92C-6793-4C3F-B59E-80A1031332F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F1714B7-C98A-44D5-8511-B71A2008BB03}">
          <x14:formula1>
            <xm:f>'C:\Users\Daljeet\Downloads\[ABP_FY''26 Issues v2 (1).xlsx]List'!#REF!</xm:f>
          </x14:formula1>
          <xm:sqref>G1:G6 G8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Jan 25</vt:lpstr>
      <vt:lpstr>Feb 25</vt:lpstr>
      <vt:lpstr>Mar 25</vt:lpstr>
      <vt:lpstr>Apr 25</vt:lpstr>
      <vt:lpstr>May 25</vt:lpstr>
      <vt:lpstr>Jun 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Daljeet</dc:creator>
  <cp:lastModifiedBy>Daljeet</cp:lastModifiedBy>
  <dcterms:created xsi:type="dcterms:W3CDTF">2026-02-21T05:03:01Z</dcterms:created>
  <dcterms:modified xsi:type="dcterms:W3CDTF">2026-02-21T14:14:09Z</dcterms:modified>
</cp:coreProperties>
</file>